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QUINOX GUINEA\MAINTENANCE PLAN\"/>
    </mc:Choice>
  </mc:AlternateContent>
  <xr:revisionPtr revIDLastSave="0" documentId="13_ncr:1_{BA1B8715-A78C-45BD-B3B2-D8275DA6713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vailabilities" sheetId="13" r:id="rId1"/>
    <sheet name="DR - 02" sheetId="3" r:id="rId2"/>
    <sheet name="DR - 03" sheetId="4" r:id="rId3"/>
    <sheet name="DR - 04" sheetId="8" r:id="rId4"/>
    <sheet name="DR - 05" sheetId="6" r:id="rId5"/>
    <sheet name="DR -10 " sheetId="11" r:id="rId6"/>
    <sheet name="DR -12" sheetId="9" r:id="rId7"/>
    <sheet name="SUMMERY" sheetId="12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0" hidden="1">Availabilities!$R$4:$T$17</definedName>
    <definedName name="EqpReff">[1]Reference!$B$2:$I$199</definedName>
    <definedName name="_xlnm.Print_Area" localSheetId="0">Availabilities!$A$1:$R$82</definedName>
    <definedName name="SchDurMonthly">'[1]Breakdown Continue'!$L$4:$L$26</definedName>
    <definedName name="SchReff">'[1]Breakdown Continue'!$J$4:$J$26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5" i="13" l="1"/>
  <c r="J15" i="13"/>
  <c r="M15" i="13"/>
  <c r="K15" i="13"/>
  <c r="D84" i="9"/>
  <c r="D83" i="9"/>
  <c r="D86" i="11"/>
  <c r="M14" i="13"/>
  <c r="L14" i="13"/>
  <c r="J14" i="13"/>
  <c r="D87" i="11"/>
  <c r="M13" i="13"/>
  <c r="N13" i="13" l="1"/>
  <c r="N14" i="13"/>
  <c r="N15" i="13"/>
  <c r="L12" i="13"/>
  <c r="K12" i="13"/>
  <c r="Q12" i="13" s="1"/>
  <c r="D87" i="8"/>
  <c r="D86" i="8"/>
  <c r="M11" i="13"/>
  <c r="N11" i="13" s="1"/>
  <c r="E82" i="4"/>
  <c r="E83" i="4"/>
  <c r="D96" i="3"/>
  <c r="D95" i="3"/>
  <c r="O6" i="13"/>
  <c r="N9" i="13"/>
  <c r="P9" i="13"/>
  <c r="Q9" i="13"/>
  <c r="L10" i="13"/>
  <c r="J10" i="13" s="1"/>
  <c r="J20" i="13" s="1"/>
  <c r="P11" i="13"/>
  <c r="Q11" i="13"/>
  <c r="K14" i="13"/>
  <c r="P14" i="13" s="1"/>
  <c r="P15" i="13"/>
  <c r="Q15" i="13"/>
  <c r="C16" i="13"/>
  <c r="D16" i="13"/>
  <c r="F16" i="13"/>
  <c r="G16" i="13"/>
  <c r="L16" i="13" s="1"/>
  <c r="H16" i="13"/>
  <c r="I16" i="13"/>
  <c r="J16" i="13"/>
  <c r="K16" i="13"/>
  <c r="O16" i="13"/>
  <c r="C17" i="13"/>
  <c r="D17" i="13"/>
  <c r="F17" i="13"/>
  <c r="M17" i="13" s="1"/>
  <c r="G17" i="13"/>
  <c r="L17" i="13" s="1"/>
  <c r="H17" i="13"/>
  <c r="I17" i="13"/>
  <c r="J17" i="13"/>
  <c r="K17" i="13"/>
  <c r="O17" i="13"/>
  <c r="P17" i="13" s="1"/>
  <c r="D18" i="13"/>
  <c r="F18" i="13"/>
  <c r="M18" i="13" s="1"/>
  <c r="G18" i="13"/>
  <c r="L18" i="13" s="1"/>
  <c r="N18" i="13" s="1"/>
  <c r="H18" i="13"/>
  <c r="I18" i="13"/>
  <c r="J18" i="13"/>
  <c r="K18" i="13"/>
  <c r="O18" i="13"/>
  <c r="Q18" i="13"/>
  <c r="G20" i="13"/>
  <c r="H20" i="13"/>
  <c r="I20" i="13"/>
  <c r="O20" i="13"/>
  <c r="X45" i="13"/>
  <c r="X46" i="13"/>
  <c r="M10" i="13" l="1"/>
  <c r="K10" i="13" s="1"/>
  <c r="Q10" i="13" s="1"/>
  <c r="P16" i="13"/>
  <c r="Q17" i="13"/>
  <c r="Q16" i="13"/>
  <c r="Q14" i="13"/>
  <c r="M12" i="13"/>
  <c r="N12" i="13" s="1"/>
  <c r="L20" i="13"/>
  <c r="M20" i="13"/>
  <c r="P12" i="13"/>
  <c r="M16" i="13"/>
  <c r="N17" i="13"/>
  <c r="P18" i="13"/>
  <c r="N16" i="13"/>
  <c r="P10" i="13" l="1"/>
  <c r="N10" i="13"/>
  <c r="N20" i="13"/>
  <c r="E83" i="8" l="1"/>
  <c r="F83" i="8"/>
  <c r="G83" i="8"/>
  <c r="E79" i="6"/>
  <c r="G79" i="6"/>
  <c r="E79" i="4"/>
  <c r="D13" i="4" s="1"/>
  <c r="G93" i="3"/>
  <c r="F93" i="3"/>
  <c r="E93" i="3"/>
  <c r="E83" i="11"/>
  <c r="D13" i="11" s="1"/>
  <c r="H13" i="11" s="1"/>
  <c r="G83" i="11"/>
  <c r="F83" i="11"/>
  <c r="N13" i="11" l="1"/>
  <c r="G80" i="9"/>
  <c r="G79" i="4" l="1"/>
  <c r="F80" i="9" l="1"/>
  <c r="E80" i="9"/>
  <c r="F79" i="4"/>
  <c r="F79" i="6"/>
  <c r="D13" i="9" l="1"/>
  <c r="H13" i="9" s="1"/>
  <c r="N13" i="9" s="1"/>
  <c r="H13" i="8"/>
  <c r="N13" i="8" s="1"/>
  <c r="H13" i="6" l="1"/>
  <c r="H13" i="4"/>
  <c r="N13" i="4" s="1"/>
  <c r="H13" i="3"/>
  <c r="N13" i="3" s="1"/>
  <c r="K20" i="13"/>
  <c r="O42" i="13" s="1"/>
  <c r="F13" i="13"/>
  <c r="Q13" i="13" s="1"/>
  <c r="O41" i="13" l="1"/>
  <c r="P13" i="13"/>
  <c r="F21" i="13"/>
  <c r="G21" i="13"/>
  <c r="M22" i="13"/>
  <c r="K23" i="13"/>
  <c r="J22" i="13"/>
  <c r="M24" i="13"/>
  <c r="I24" i="13"/>
  <c r="F22" i="13"/>
  <c r="J25" i="13"/>
  <c r="H23" i="13"/>
  <c r="H25" i="13"/>
  <c r="H21" i="13"/>
  <c r="F20" i="13"/>
  <c r="F24" i="13"/>
  <c r="L22" i="13"/>
  <c r="G23" i="13"/>
  <c r="H24" i="13"/>
  <c r="I22" i="13" l="1"/>
  <c r="L21" i="13"/>
  <c r="K21" i="13"/>
  <c r="Q21" i="13" s="1"/>
  <c r="F23" i="13"/>
  <c r="Q23" i="13" s="1"/>
  <c r="K25" i="13"/>
  <c r="G22" i="13"/>
  <c r="F25" i="13"/>
  <c r="I25" i="13"/>
  <c r="J24" i="13"/>
  <c r="G25" i="13"/>
  <c r="O23" i="13"/>
  <c r="I21" i="13"/>
  <c r="I23" i="13"/>
  <c r="L25" i="13"/>
  <c r="L23" i="13"/>
  <c r="Z47" i="13"/>
  <c r="Z46" i="13"/>
  <c r="Q20" i="13"/>
  <c r="Q41" i="13"/>
  <c r="Q42" i="13"/>
  <c r="P20" i="13"/>
  <c r="Q44" i="13"/>
  <c r="Q43" i="13"/>
  <c r="Z45" i="13"/>
  <c r="Z48" i="13"/>
  <c r="M21" i="13"/>
  <c r="M25" i="13"/>
  <c r="L24" i="13"/>
  <c r="K24" i="13"/>
  <c r="Q24" i="13" s="1"/>
  <c r="K22" i="13"/>
  <c r="Q22" i="13" s="1"/>
  <c r="J21" i="13"/>
  <c r="O21" i="13"/>
  <c r="O24" i="13"/>
  <c r="J23" i="13"/>
  <c r="O22" i="13"/>
  <c r="G24" i="13"/>
  <c r="O25" i="13"/>
  <c r="M23" i="13"/>
  <c r="H22" i="13"/>
  <c r="Q25" i="13" l="1"/>
  <c r="N25" i="13"/>
  <c r="P25" i="13"/>
  <c r="N22" i="13"/>
  <c r="P22" i="13"/>
  <c r="N24" i="13"/>
  <c r="P24" i="13"/>
  <c r="P23" i="13"/>
  <c r="N23" i="13"/>
  <c r="N21" i="13"/>
  <c r="P21" i="13"/>
</calcChain>
</file>

<file path=xl/sharedStrings.xml><?xml version="1.0" encoding="utf-8"?>
<sst xmlns="http://schemas.openxmlformats.org/spreadsheetml/2006/main" count="2120" uniqueCount="276">
  <si>
    <t>Day shift Morning</t>
  </si>
  <si>
    <t>From Lero to site Bus station</t>
  </si>
  <si>
    <t>From site Bus station to Fello</t>
  </si>
  <si>
    <t>Tool Box meeting</t>
  </si>
  <si>
    <t xml:space="preserve">Machine Pre start </t>
  </si>
  <si>
    <t>Lunch time</t>
  </si>
  <si>
    <t>Total time</t>
  </si>
  <si>
    <t xml:space="preserve">REMARK </t>
  </si>
  <si>
    <t>45 min</t>
  </si>
  <si>
    <t>20 min</t>
  </si>
  <si>
    <t>15 min</t>
  </si>
  <si>
    <t>2: 00 hr</t>
  </si>
  <si>
    <r>
      <t>TOTAL AVAILABLLE WORKING HOUR  PER SHIFT IS 12HR-4 HR=</t>
    </r>
    <r>
      <rPr>
        <b/>
        <sz val="14"/>
        <color theme="1"/>
        <rFont val="Calibri"/>
        <family val="2"/>
        <scheme val="minor"/>
      </rPr>
      <t>10 HR</t>
    </r>
  </si>
  <si>
    <t>Night shift evning</t>
  </si>
  <si>
    <t xml:space="preserve">From site to Bus station </t>
  </si>
  <si>
    <t>From Bus station to lero</t>
  </si>
  <si>
    <t>20m</t>
  </si>
  <si>
    <t>15min</t>
  </si>
  <si>
    <t>2:00 hr</t>
  </si>
  <si>
    <t xml:space="preserve">Date </t>
  </si>
  <si>
    <t>Rig Code No.</t>
  </si>
  <si>
    <t>Shift</t>
  </si>
  <si>
    <t xml:space="preserve">Location </t>
  </si>
  <si>
    <t>Reason downtime</t>
  </si>
  <si>
    <t xml:space="preserve">Responsible person </t>
  </si>
  <si>
    <t xml:space="preserve">Remarks </t>
  </si>
  <si>
    <t>Hassagnere GC</t>
  </si>
  <si>
    <t>Day</t>
  </si>
  <si>
    <t xml:space="preserve"># Days per month </t>
  </si>
  <si>
    <t># PM days/Month</t>
  </si>
  <si>
    <t># Operational plan  days/Month</t>
  </si>
  <si>
    <t xml:space="preserve"># Shift /Day </t>
  </si>
  <si>
    <t>Work Order No_</t>
  </si>
  <si>
    <t>Availability</t>
  </si>
  <si>
    <t>Abreha</t>
  </si>
  <si>
    <t>Bezabeh</t>
  </si>
  <si>
    <t>Osman</t>
  </si>
  <si>
    <t>Camara</t>
  </si>
  <si>
    <t xml:space="preserve">Yergalem </t>
  </si>
  <si>
    <t>DR-02</t>
  </si>
  <si>
    <t>DR-03</t>
  </si>
  <si>
    <t>DR-04</t>
  </si>
  <si>
    <t>DR-05</t>
  </si>
  <si>
    <t>DR-10</t>
  </si>
  <si>
    <t>DR-12</t>
  </si>
  <si>
    <t>Night</t>
  </si>
  <si>
    <t>Fello</t>
  </si>
  <si>
    <t>Fayalala</t>
  </si>
  <si>
    <t>Workshop</t>
  </si>
  <si>
    <t>PM(min)</t>
  </si>
  <si>
    <t>Cissoko</t>
  </si>
  <si>
    <t>Kieta</t>
  </si>
  <si>
    <t>Shift Duration(MINUTE)</t>
  </si>
  <si>
    <t>Solomon</t>
  </si>
  <si>
    <t xml:space="preserve">CM downtime(min) </t>
  </si>
  <si>
    <t xml:space="preserve">CM down time(min) </t>
  </si>
  <si>
    <t xml:space="preserve">CM downtime (min) </t>
  </si>
  <si>
    <t>Operational down time(min)</t>
  </si>
  <si>
    <t xml:space="preserve">Bandioula </t>
  </si>
  <si>
    <t>Solomon and Anteneh</t>
  </si>
  <si>
    <t>250 hours service</t>
  </si>
  <si>
    <t>D0018</t>
  </si>
  <si>
    <t>D0019</t>
  </si>
  <si>
    <t>TOTAL</t>
  </si>
  <si>
    <t>Calander closing date</t>
  </si>
  <si>
    <t>T0042</t>
  </si>
  <si>
    <t>T0043</t>
  </si>
  <si>
    <t>Cleaning of air filter and tightening of frame bolts</t>
  </si>
  <si>
    <t>Replacement of gripper</t>
  </si>
  <si>
    <t>Heralto</t>
  </si>
  <si>
    <t>Heralto and Afework</t>
  </si>
  <si>
    <t>Waiting for geologist confirmition</t>
  </si>
  <si>
    <t>Lack of fuel supply</t>
  </si>
  <si>
    <t>D0020</t>
  </si>
  <si>
    <t>Top up of 20 litre hydraulic oil</t>
  </si>
  <si>
    <t>Anteneh</t>
  </si>
  <si>
    <t>T0044</t>
  </si>
  <si>
    <t>Inspection of deck engine</t>
  </si>
  <si>
    <t>T0045</t>
  </si>
  <si>
    <t>Lack of drilling point</t>
  </si>
  <si>
    <t>Failure of compressor radiator</t>
  </si>
  <si>
    <t xml:space="preserve">The ELGI compressor is replaced by ATLASS COPCO </t>
  </si>
  <si>
    <t>Idle for work</t>
  </si>
  <si>
    <t>Clogging of fuel line</t>
  </si>
  <si>
    <t>Rod stack</t>
  </si>
  <si>
    <t>Reparing of saver sub</t>
  </si>
  <si>
    <t>Replacement of auxiliary compressor</t>
  </si>
  <si>
    <t>Failure of rotary head motor hydraulic hose</t>
  </si>
  <si>
    <t>Loose of rod handler cylinder fittings and comp. turbocharger clamps</t>
  </si>
  <si>
    <t>There was no down time</t>
  </si>
  <si>
    <t>Hammer block</t>
  </si>
  <si>
    <t>Hammer service</t>
  </si>
  <si>
    <t>Fellow up of pended 250 hrs service</t>
  </si>
  <si>
    <t>D0021</t>
  </si>
  <si>
    <t>Camara and Altho</t>
  </si>
  <si>
    <t>Rotary head stack for rotation</t>
  </si>
  <si>
    <t>D0022</t>
  </si>
  <si>
    <t>Solomon and Cissoko</t>
  </si>
  <si>
    <t>Loose of cyclone cylinder joints and cleaing of air filters</t>
  </si>
  <si>
    <t>Van pump stack</t>
  </si>
  <si>
    <t>Power supply problem of control panel</t>
  </si>
  <si>
    <t>Altho</t>
  </si>
  <si>
    <t>Injury accident</t>
  </si>
  <si>
    <t>Crack of sample hose</t>
  </si>
  <si>
    <t>Lack of technique for compressor unloading operation</t>
  </si>
  <si>
    <t>working for 2 hours</t>
  </si>
  <si>
    <t xml:space="preserve">Work stoppage for SMD instruction </t>
  </si>
  <si>
    <t>Waiting for transportation vehicle</t>
  </si>
  <si>
    <t>Repairing of top swivel</t>
  </si>
  <si>
    <t>Hudraulic pump and rotary head losse of hydraulic oil fittings</t>
  </si>
  <si>
    <t>Failure of accelerator cable</t>
  </si>
  <si>
    <t>D0023</t>
  </si>
  <si>
    <t>Kieta and Traore</t>
  </si>
  <si>
    <t>PM maintenance</t>
  </si>
  <si>
    <t>T0046</t>
  </si>
  <si>
    <t>Cloggging of fuel line</t>
  </si>
  <si>
    <t>Failure of sample tube</t>
  </si>
  <si>
    <t>Compressor starting problem</t>
  </si>
  <si>
    <t>Lack of fuel supply (SMD)</t>
  </si>
  <si>
    <t>Waiting for water</t>
  </si>
  <si>
    <t>T0047</t>
  </si>
  <si>
    <t>Power plant lighting problem</t>
  </si>
  <si>
    <t>Loose of sample hose</t>
  </si>
  <si>
    <t>Failure of main air open cylinder actuator</t>
  </si>
  <si>
    <t>Blasting time</t>
  </si>
  <si>
    <t>Crack of sample hose and failure of long sub</t>
  </si>
  <si>
    <t>Rotary head motor oil leakage</t>
  </si>
  <si>
    <t>Loose of fittings and oil leakage for cylone cylinder</t>
  </si>
  <si>
    <t>Bezabh and N' Faly</t>
  </si>
  <si>
    <t>PM maintenance (cleaning of machine)</t>
  </si>
  <si>
    <t>Waiting for geologist</t>
  </si>
  <si>
    <t>Waiting for low bed truck</t>
  </si>
  <si>
    <t>Hydraulic pump oil leakage</t>
  </si>
  <si>
    <t>Waiting for water and lack of fuel supply</t>
  </si>
  <si>
    <t>Replacement of horn contact as well as light bulb installation for driller side and front high beam</t>
  </si>
  <si>
    <t>Desta alem</t>
  </si>
  <si>
    <t>Desta alem and Kindeya</t>
  </si>
  <si>
    <t>Kieta and Soromo</t>
  </si>
  <si>
    <t>Reparing of banana bar,top swivel guide and spanner</t>
  </si>
  <si>
    <t>Demobilization</t>
  </si>
  <si>
    <t>Solomon,Altho,Afworki and Herianto</t>
  </si>
  <si>
    <t>Failure of hammer</t>
  </si>
  <si>
    <t>Work stop due to employeers excuse</t>
  </si>
  <si>
    <t>Deck engine fuel leakage</t>
  </si>
  <si>
    <t>T0048</t>
  </si>
  <si>
    <t>T0049</t>
  </si>
  <si>
    <t>Bezabh and Yergalem</t>
  </si>
  <si>
    <t>Failure of rod handler rotary actuator</t>
  </si>
  <si>
    <t>Failure of rotary head cable</t>
  </si>
  <si>
    <t>Fabrocation of electrical cable support guide</t>
  </si>
  <si>
    <t>Repairing of hydraulic hoses guide</t>
  </si>
  <si>
    <t>Scheduled maintenance (cleaning of machine)</t>
  </si>
  <si>
    <t>Mechanical  maintenance and 250 hrs service</t>
  </si>
  <si>
    <t>Scheduled mechanical maintenance</t>
  </si>
  <si>
    <t>Scheduled electrical maintenance</t>
  </si>
  <si>
    <t>Replacement of failed rotary head cable</t>
  </si>
  <si>
    <t>T0050</t>
  </si>
  <si>
    <t>Anteneh, Solomon and Herianto</t>
  </si>
  <si>
    <t>Mobilization time</t>
  </si>
  <si>
    <t>Problem for alternator</t>
  </si>
  <si>
    <t>Alseny</t>
  </si>
  <si>
    <t>Problem for water swivel adaptor</t>
  </si>
  <si>
    <t>Problem for winch cable and water swivel adaptor</t>
  </si>
  <si>
    <t>Traore</t>
  </si>
  <si>
    <t xml:space="preserve">Lack of fuel supply </t>
  </si>
  <si>
    <t xml:space="preserve">Becaucse  of the  contract  with SMD </t>
  </si>
  <si>
    <t>PM down time(min)</t>
  </si>
  <si>
    <t xml:space="preserve">Because fo the contrat SMD </t>
  </si>
  <si>
    <t>Stand by</t>
  </si>
  <si>
    <t xml:space="preserve">Stand by Deck engine </t>
  </si>
  <si>
    <t xml:space="preserve">under maintenance </t>
  </si>
  <si>
    <t xml:space="preserve">Monthly Equipment  Availability Report  </t>
  </si>
  <si>
    <t xml:space="preserve"> SMD FELLO SITE  </t>
  </si>
  <si>
    <t>No.</t>
  </si>
  <si>
    <t>Rig No</t>
  </si>
  <si>
    <t>Avail %</t>
  </si>
  <si>
    <t>DR-2</t>
  </si>
  <si>
    <t>DR-3</t>
  </si>
  <si>
    <t>DR-4</t>
  </si>
  <si>
    <t>DR-5</t>
  </si>
  <si>
    <t>PQ rod break down</t>
  </si>
  <si>
    <t>RIG AVAILABILITY JAN 1/1/2026-31/1/2026</t>
  </si>
  <si>
    <t xml:space="preserve">spare part compressor </t>
  </si>
  <si>
    <t xml:space="preserve">RC  Drilling Machine  Availability Report from jan 1/1/2026 -31/1/2026 </t>
  </si>
  <si>
    <t xml:space="preserve">DD  Drilling Machine  Availability Report from jan 1/1/2026 -31/1/2026 </t>
  </si>
  <si>
    <t xml:space="preserve">WAITING COMPRESSOR SPARE PARTS </t>
  </si>
  <si>
    <t>Closed</t>
  </si>
  <si>
    <t>P2</t>
  </si>
  <si>
    <t>BL</t>
  </si>
  <si>
    <t>ALIOU</t>
  </si>
  <si>
    <t>GUINEA-22011</t>
  </si>
  <si>
    <t>RIG-0145</t>
  </si>
  <si>
    <t xml:space="preserve">Date : </t>
  </si>
  <si>
    <t xml:space="preserve">Approved By : </t>
  </si>
  <si>
    <t>Provide by : Herianto Sabil</t>
  </si>
  <si>
    <t>OD%</t>
  </si>
  <si>
    <t>WP%</t>
  </si>
  <si>
    <t>BD%</t>
  </si>
  <si>
    <t>UP%</t>
  </si>
  <si>
    <t>SR%</t>
  </si>
  <si>
    <t>PL%</t>
  </si>
  <si>
    <t>Lero - Yesterday  PL / UPL &amp; Stoppage Type</t>
  </si>
  <si>
    <t>Lero -Fleet Availabilities / Weeks</t>
  </si>
  <si>
    <t>Lero _Month to Date Availabities</t>
  </si>
  <si>
    <t>Lero - Yesterday Availabilities</t>
  </si>
  <si>
    <t>TBA</t>
  </si>
  <si>
    <t>BH</t>
  </si>
  <si>
    <t>RC/GC</t>
  </si>
  <si>
    <t>DD</t>
  </si>
  <si>
    <t>All Assets</t>
  </si>
  <si>
    <t>RIG-0177</t>
  </si>
  <si>
    <t>RIG-0166</t>
  </si>
  <si>
    <t>RIG-0165</t>
  </si>
  <si>
    <t>Mean  Time To Repair</t>
  </si>
  <si>
    <t>MTTR</t>
  </si>
  <si>
    <t>Falo</t>
  </si>
  <si>
    <t>Diamond Drill China</t>
  </si>
  <si>
    <t>DR 12</t>
  </si>
  <si>
    <t>Mean Time Between Failure / Mean Time Between Stop</t>
  </si>
  <si>
    <t>MTBF / MTBS</t>
  </si>
  <si>
    <t>PRD Multi Star Track Mounted</t>
  </si>
  <si>
    <t>DR 10</t>
  </si>
  <si>
    <t>Total Working Hours</t>
  </si>
  <si>
    <t>Work hrs</t>
  </si>
  <si>
    <t>ws</t>
  </si>
  <si>
    <t>DR 05</t>
  </si>
  <si>
    <t>Machine Availability</t>
  </si>
  <si>
    <t>Mach. Avail</t>
  </si>
  <si>
    <t>Banjoula</t>
  </si>
  <si>
    <t>DR 04</t>
  </si>
  <si>
    <t>Unplaned Down</t>
  </si>
  <si>
    <t>UPL Down</t>
  </si>
  <si>
    <t>PRD Diamond Drill 750</t>
  </si>
  <si>
    <t>DR 03</t>
  </si>
  <si>
    <t>Planned down</t>
  </si>
  <si>
    <t>PL Down</t>
  </si>
  <si>
    <t>PRD Multistar Trcuk Mounted</t>
  </si>
  <si>
    <t>DR 02</t>
  </si>
  <si>
    <t>Number Unplaned down</t>
  </si>
  <si>
    <t>No. UPL / down</t>
  </si>
  <si>
    <t>DR 01</t>
  </si>
  <si>
    <t>Number planed down</t>
  </si>
  <si>
    <t>No. PL / Down</t>
  </si>
  <si>
    <t>M.T.T.R</t>
  </si>
  <si>
    <t>M.T.B.F</t>
  </si>
  <si>
    <t>Mech.Avail%</t>
  </si>
  <si>
    <t>UP Down Hrs</t>
  </si>
  <si>
    <t>PL Down Hrs</t>
  </si>
  <si>
    <t>No. UPL / Down</t>
  </si>
  <si>
    <t>No. PL/Down</t>
  </si>
  <si>
    <t>OD</t>
  </si>
  <si>
    <t>WP</t>
  </si>
  <si>
    <t>SR</t>
  </si>
  <si>
    <t>TDT</t>
  </si>
  <si>
    <t>Type</t>
  </si>
  <si>
    <t>Site</t>
  </si>
  <si>
    <t>Description</t>
  </si>
  <si>
    <t>ASSET #</t>
  </si>
  <si>
    <t>Operation Damage</t>
  </si>
  <si>
    <t>Waiting Part</t>
  </si>
  <si>
    <t>Total Rig</t>
  </si>
  <si>
    <t>LERO</t>
  </si>
  <si>
    <t>SITE</t>
  </si>
  <si>
    <t>GUINEA</t>
  </si>
  <si>
    <t>Country</t>
  </si>
  <si>
    <t>PM Service</t>
  </si>
  <si>
    <t>YEAR</t>
  </si>
  <si>
    <t>Month</t>
  </si>
  <si>
    <t>Date</t>
  </si>
  <si>
    <t>Total Down Time</t>
  </si>
  <si>
    <t>Select Report Option &gt;&gt;</t>
  </si>
  <si>
    <t>EQUINOX DRILLING GUINES ( LERO SITE ) -DAILY MAINTENANCE REPORT-2026</t>
  </si>
  <si>
    <t>JANUARY</t>
  </si>
  <si>
    <t>TOTAL DOWN TIME</t>
  </si>
  <si>
    <t>Operation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</si>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</sst>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\-mmm\-yy;@"/>
    <numFmt numFmtId="165" formatCode="0.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</font>
    <font>
      <b/>
      <sz val="9"/>
      <color rgb="FFFFFF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4"/>
      <color rgb="FFFFFF0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0070C0"/>
      <name val="Arial Black"/>
      <family val="2"/>
    </font>
    <font>
      <b/>
      <sz val="14"/>
      <color rgb="FF0070C0"/>
      <name val="Arial Black"/>
      <family val="2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2"/>
      <color rgb="FFFFFF1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0"/>
      <color rgb="FF0070C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81"/>
        <bgColor indexed="64"/>
      </patternFill>
    </fill>
  </fills>
  <borders count="4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B2B2B2"/>
      </bottom>
      <diagonal/>
    </border>
    <border>
      <left style="medium">
        <color auto="1"/>
      </left>
      <right style="medium">
        <color auto="1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 style="medium">
        <color auto="1"/>
      </right>
      <top style="thin">
        <color rgb="FFB2B2B2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1" fillId="3" borderId="1" applyNumberFormat="0" applyFont="0" applyAlignment="0" applyProtection="0"/>
    <xf numFmtId="9" fontId="1" fillId="0" borderId="0" applyFont="0" applyFill="0" applyBorder="0" applyAlignment="0" applyProtection="0"/>
    <xf numFmtId="0" fontId="19" fillId="6" borderId="32" applyNumberFormat="0" applyAlignment="0" applyProtection="0"/>
    <xf numFmtId="0" fontId="1" fillId="0" borderId="0" applyFont="0" applyFill="0" applyBorder="0" applyAlignment="0" applyProtection="0"/>
  </cellStyleXfs>
  <cellXfs count="318">
    <xf numFmtId="0" fontId="0" fillId="0" borderId="0" xfId="0"/>
    <xf numFmtId="0" fontId="6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wrapText="1"/>
    </xf>
    <xf numFmtId="0" fontId="3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0" fillId="3" borderId="19" xfId="2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17" xfId="2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9" fillId="0" borderId="0" xfId="0" applyFont="1"/>
    <xf numFmtId="0" fontId="9" fillId="0" borderId="9" xfId="0" applyFont="1" applyBorder="1"/>
    <xf numFmtId="0" fontId="6" fillId="0" borderId="26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0" fillId="0" borderId="3" xfId="0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0" fontId="6" fillId="0" borderId="27" xfId="3" applyNumberFormat="1" applyFont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0" fontId="4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0" fillId="4" borderId="2" xfId="0" applyFill="1" applyBorder="1" applyAlignment="1">
      <alignment horizontal="center" wrapText="1"/>
    </xf>
    <xf numFmtId="0" fontId="0" fillId="4" borderId="2" xfId="0" applyFill="1" applyBorder="1" applyAlignment="1">
      <alignment wrapText="1"/>
    </xf>
    <xf numFmtId="0" fontId="0" fillId="4" borderId="16" xfId="0" applyFill="1" applyBorder="1" applyAlignment="1">
      <alignment horizontal="left" wrapText="1"/>
    </xf>
    <xf numFmtId="0" fontId="0" fillId="4" borderId="16" xfId="0" applyFill="1" applyBorder="1" applyAlignment="1">
      <alignment horizontal="center" wrapText="1"/>
    </xf>
    <xf numFmtId="0" fontId="0" fillId="4" borderId="15" xfId="0" applyFill="1" applyBorder="1" applyAlignment="1">
      <alignment horizontal="center" wrapText="1"/>
    </xf>
    <xf numFmtId="0" fontId="0" fillId="4" borderId="30" xfId="0" applyFill="1" applyBorder="1" applyAlignment="1">
      <alignment horizontal="center" wrapText="1"/>
    </xf>
    <xf numFmtId="0" fontId="3" fillId="0" borderId="17" xfId="0" applyFont="1" applyBorder="1" applyAlignment="1">
      <alignment horizontal="left" vertical="center"/>
    </xf>
    <xf numFmtId="0" fontId="0" fillId="3" borderId="19" xfId="2" applyFont="1" applyBorder="1" applyAlignment="1">
      <alignment horizontal="left"/>
    </xf>
    <xf numFmtId="0" fontId="10" fillId="0" borderId="3" xfId="0" applyFont="1" applyBorder="1" applyAlignment="1">
      <alignment horizontal="left" vertical="center" wrapText="1"/>
    </xf>
    <xf numFmtId="0" fontId="0" fillId="4" borderId="2" xfId="0" applyFill="1" applyBorder="1" applyAlignment="1">
      <alignment horizontal="left"/>
    </xf>
    <xf numFmtId="0" fontId="0" fillId="4" borderId="2" xfId="0" applyFill="1" applyBorder="1" applyAlignment="1">
      <alignment horizontal="left" wrapText="1"/>
    </xf>
    <xf numFmtId="0" fontId="0" fillId="4" borderId="0" xfId="0" applyFill="1"/>
    <xf numFmtId="0" fontId="12" fillId="0" borderId="2" xfId="0" applyFont="1" applyBorder="1" applyAlignment="1">
      <alignment horizontal="center"/>
    </xf>
    <xf numFmtId="0" fontId="12" fillId="4" borderId="2" xfId="0" applyFont="1" applyFill="1" applyBorder="1" applyAlignment="1">
      <alignment horizontal="left"/>
    </xf>
    <xf numFmtId="0" fontId="3" fillId="0" borderId="17" xfId="0" applyFont="1" applyBorder="1" applyAlignment="1">
      <alignment horizontal="center" wrapText="1"/>
    </xf>
    <xf numFmtId="1" fontId="12" fillId="0" borderId="2" xfId="0" applyNumberFormat="1" applyFont="1" applyBorder="1" applyAlignment="1">
      <alignment horizontal="center"/>
    </xf>
    <xf numFmtId="0" fontId="13" fillId="0" borderId="2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10" fontId="13" fillId="0" borderId="27" xfId="3" applyNumberFormat="1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164" fontId="12" fillId="4" borderId="29" xfId="0" applyNumberFormat="1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wrapText="1"/>
    </xf>
    <xf numFmtId="0" fontId="12" fillId="4" borderId="2" xfId="0" applyFont="1" applyFill="1" applyBorder="1" applyAlignment="1">
      <alignment wrapText="1"/>
    </xf>
    <xf numFmtId="0" fontId="12" fillId="4" borderId="16" xfId="0" applyFont="1" applyFill="1" applyBorder="1" applyAlignment="1">
      <alignment horizontal="left" wrapText="1"/>
    </xf>
    <xf numFmtId="0" fontId="12" fillId="4" borderId="15" xfId="0" applyFont="1" applyFill="1" applyBorder="1" applyAlignment="1">
      <alignment horizontal="left" wrapText="1"/>
    </xf>
    <xf numFmtId="0" fontId="12" fillId="4" borderId="30" xfId="0" applyFont="1" applyFill="1" applyBorder="1" applyAlignment="1">
      <alignment horizontal="left" wrapText="1"/>
    </xf>
    <xf numFmtId="0" fontId="12" fillId="4" borderId="16" xfId="0" applyFont="1" applyFill="1" applyBorder="1" applyAlignment="1">
      <alignment horizontal="center" wrapText="1"/>
    </xf>
    <xf numFmtId="0" fontId="12" fillId="4" borderId="15" xfId="0" applyFont="1" applyFill="1" applyBorder="1" applyAlignment="1">
      <alignment horizontal="center" wrapText="1"/>
    </xf>
    <xf numFmtId="0" fontId="12" fillId="4" borderId="30" xfId="0" applyFont="1" applyFill="1" applyBorder="1" applyAlignment="1">
      <alignment horizontal="center" wrapText="1"/>
    </xf>
    <xf numFmtId="0" fontId="12" fillId="4" borderId="2" xfId="0" applyFont="1" applyFill="1" applyBorder="1" applyAlignment="1">
      <alignment horizontal="left" wrapText="1"/>
    </xf>
    <xf numFmtId="0" fontId="12" fillId="0" borderId="2" xfId="0" applyFont="1" applyBorder="1" applyAlignment="1">
      <alignment horizontal="left"/>
    </xf>
    <xf numFmtId="0" fontId="17" fillId="4" borderId="2" xfId="0" applyFont="1" applyFill="1" applyBorder="1" applyAlignment="1">
      <alignment wrapText="1"/>
    </xf>
    <xf numFmtId="0" fontId="18" fillId="4" borderId="16" xfId="0" applyFont="1" applyFill="1" applyBorder="1" applyAlignment="1">
      <alignment horizontal="left" wrapText="1"/>
    </xf>
    <xf numFmtId="0" fontId="18" fillId="4" borderId="15" xfId="0" applyFont="1" applyFill="1" applyBorder="1" applyAlignment="1">
      <alignment horizontal="left" wrapText="1"/>
    </xf>
    <xf numFmtId="0" fontId="18" fillId="4" borderId="30" xfId="0" applyFont="1" applyFill="1" applyBorder="1" applyAlignment="1">
      <alignment horizontal="left" wrapText="1"/>
    </xf>
    <xf numFmtId="0" fontId="16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wrapText="1"/>
    </xf>
    <xf numFmtId="0" fontId="13" fillId="4" borderId="26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10" fontId="13" fillId="4" borderId="27" xfId="3" applyNumberFormat="1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 wrapText="1"/>
    </xf>
    <xf numFmtId="1" fontId="12" fillId="4" borderId="2" xfId="0" applyNumberFormat="1" applyFont="1" applyFill="1" applyBorder="1" applyAlignment="1">
      <alignment horizontal="center"/>
    </xf>
    <xf numFmtId="0" fontId="12" fillId="0" borderId="3" xfId="0" applyFont="1" applyBorder="1" applyAlignment="1">
      <alignment horizontal="left" wrapText="1"/>
    </xf>
    <xf numFmtId="1" fontId="12" fillId="0" borderId="2" xfId="0" applyNumberFormat="1" applyFont="1" applyBorder="1" applyAlignment="1">
      <alignment horizontal="left"/>
    </xf>
    <xf numFmtId="0" fontId="12" fillId="4" borderId="16" xfId="0" applyFont="1" applyFill="1" applyBorder="1" applyAlignment="1">
      <alignment horizontal="left"/>
    </xf>
    <xf numFmtId="0" fontId="12" fillId="4" borderId="15" xfId="0" applyFont="1" applyFill="1" applyBorder="1" applyAlignment="1">
      <alignment horizontal="left"/>
    </xf>
    <xf numFmtId="0" fontId="12" fillId="4" borderId="30" xfId="0" applyFont="1" applyFill="1" applyBorder="1" applyAlignment="1">
      <alignment horizontal="left"/>
    </xf>
    <xf numFmtId="0" fontId="12" fillId="4" borderId="3" xfId="0" applyFont="1" applyFill="1" applyBorder="1" applyAlignment="1">
      <alignment horizontal="left"/>
    </xf>
    <xf numFmtId="1" fontId="12" fillId="4" borderId="2" xfId="0" applyNumberFormat="1" applyFont="1" applyFill="1" applyBorder="1" applyAlignment="1">
      <alignment horizontal="left"/>
    </xf>
    <xf numFmtId="1" fontId="0" fillId="0" borderId="2" xfId="0" applyNumberFormat="1" applyBorder="1" applyAlignment="1">
      <alignment horizontal="center"/>
    </xf>
    <xf numFmtId="0" fontId="0" fillId="4" borderId="16" xfId="0" applyFill="1" applyBorder="1" applyAlignment="1">
      <alignment wrapText="1"/>
    </xf>
    <xf numFmtId="0" fontId="0" fillId="4" borderId="15" xfId="0" applyFill="1" applyBorder="1" applyAlignment="1">
      <alignment wrapText="1"/>
    </xf>
    <xf numFmtId="0" fontId="0" fillId="4" borderId="30" xfId="0" applyFill="1" applyBorder="1" applyAlignment="1">
      <alignment wrapText="1"/>
    </xf>
    <xf numFmtId="0" fontId="0" fillId="4" borderId="15" xfId="0" applyFill="1" applyBorder="1" applyAlignment="1">
      <alignment horizontal="left" wrapText="1"/>
    </xf>
    <xf numFmtId="0" fontId="0" fillId="4" borderId="30" xfId="0" applyFill="1" applyBorder="1" applyAlignment="1">
      <alignment horizontal="left" wrapText="1"/>
    </xf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0" xfId="0" applyFont="1"/>
    <xf numFmtId="0" fontId="7" fillId="0" borderId="2" xfId="0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/>
    </xf>
    <xf numFmtId="0" fontId="15" fillId="0" borderId="2" xfId="0" applyFont="1" applyBorder="1"/>
    <xf numFmtId="0" fontId="15" fillId="0" borderId="2" xfId="0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left"/>
    </xf>
    <xf numFmtId="0" fontId="12" fillId="4" borderId="3" xfId="0" applyFont="1" applyFill="1" applyBorder="1" applyAlignment="1">
      <alignment horizontal="left" wrapText="1"/>
    </xf>
    <xf numFmtId="0" fontId="0" fillId="4" borderId="15" xfId="0" applyFill="1" applyBorder="1"/>
    <xf numFmtId="0" fontId="0" fillId="4" borderId="30" xfId="0" applyFill="1" applyBorder="1"/>
    <xf numFmtId="0" fontId="3" fillId="0" borderId="2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0" fontId="3" fillId="0" borderId="27" xfId="3" applyNumberFormat="1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10" fontId="3" fillId="0" borderId="2" xfId="0" applyNumberFormat="1" applyFont="1" applyBorder="1" applyAlignment="1">
      <alignment horizontal="center"/>
    </xf>
    <xf numFmtId="0" fontId="12" fillId="5" borderId="2" xfId="0" applyFont="1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1" fillId="0" borderId="0" xfId="0" applyFont="1"/>
    <xf numFmtId="0" fontId="1" fillId="0" borderId="36" xfId="0" applyFont="1" applyBorder="1"/>
    <xf numFmtId="0" fontId="1" fillId="0" borderId="37" xfId="0" applyFont="1" applyBorder="1"/>
    <xf numFmtId="0" fontId="1" fillId="0" borderId="38" xfId="0" applyFont="1" applyBorder="1"/>
    <xf numFmtId="0" fontId="1" fillId="0" borderId="39" xfId="0" applyFont="1" applyBorder="1"/>
    <xf numFmtId="0" fontId="1" fillId="0" borderId="40" xfId="0" applyFont="1" applyBorder="1"/>
    <xf numFmtId="0" fontId="1" fillId="4" borderId="39" xfId="0" applyFont="1" applyFill="1" applyBorder="1"/>
    <xf numFmtId="0" fontId="1" fillId="4" borderId="0" xfId="0" applyFont="1" applyFill="1"/>
    <xf numFmtId="0" fontId="1" fillId="4" borderId="40" xfId="0" applyFont="1" applyFill="1" applyBorder="1"/>
    <xf numFmtId="0" fontId="1" fillId="0" borderId="0" xfId="5" applyFont="1"/>
    <xf numFmtId="0" fontId="1" fillId="0" borderId="0" xfId="0" applyFont="1" applyAlignment="1">
      <alignment horizontal="right"/>
    </xf>
    <xf numFmtId="0" fontId="1" fillId="0" borderId="39" xfId="5" applyFont="1" applyBorder="1" applyAlignment="1">
      <alignment horizontal="right"/>
    </xf>
    <xf numFmtId="0" fontId="0" fillId="0" borderId="39" xfId="5" applyFont="1" applyBorder="1" applyAlignment="1">
      <alignment horizontal="right"/>
    </xf>
    <xf numFmtId="0" fontId="0" fillId="0" borderId="0" xfId="0" applyAlignment="1">
      <alignment horizontal="right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10" fillId="0" borderId="0" xfId="0" applyFont="1"/>
    <xf numFmtId="2" fontId="28" fillId="0" borderId="41" xfId="0" applyNumberFormat="1" applyFont="1" applyBorder="1" applyAlignment="1" applyProtection="1">
      <alignment horizontal="center" vertical="center"/>
      <protection hidden="1"/>
    </xf>
    <xf numFmtId="10" fontId="29" fillId="0" borderId="41" xfId="5" applyNumberFormat="1" applyFont="1" applyBorder="1" applyAlignment="1" applyProtection="1">
      <alignment horizontal="center" vertical="center"/>
      <protection hidden="1"/>
    </xf>
    <xf numFmtId="2" fontId="30" fillId="0" borderId="41" xfId="0" applyNumberFormat="1" applyFont="1" applyBorder="1" applyAlignment="1" applyProtection="1">
      <alignment horizontal="center" vertical="center"/>
      <protection hidden="1"/>
    </xf>
    <xf numFmtId="0" fontId="30" fillId="0" borderId="33" xfId="0" applyFont="1" applyBorder="1" applyAlignment="1">
      <alignment vertical="center"/>
    </xf>
    <xf numFmtId="0" fontId="30" fillId="0" borderId="34" xfId="0" applyFont="1" applyBorder="1" applyAlignment="1">
      <alignment vertical="center"/>
    </xf>
    <xf numFmtId="0" fontId="31" fillId="4" borderId="35" xfId="0" applyFont="1" applyFill="1" applyBorder="1" applyAlignment="1">
      <alignment vertical="center"/>
    </xf>
    <xf numFmtId="2" fontId="32" fillId="7" borderId="41" xfId="0" applyNumberFormat="1" applyFont="1" applyFill="1" applyBorder="1" applyAlignment="1" applyProtection="1">
      <alignment horizontal="center" vertical="center"/>
      <protection hidden="1"/>
    </xf>
    <xf numFmtId="0" fontId="32" fillId="7" borderId="41" xfId="0" applyFont="1" applyFill="1" applyBorder="1" applyAlignment="1" applyProtection="1">
      <alignment horizontal="center" vertical="center"/>
      <protection hidden="1"/>
    </xf>
    <xf numFmtId="10" fontId="32" fillId="7" borderId="41" xfId="5" applyNumberFormat="1" applyFont="1" applyFill="1" applyBorder="1" applyAlignment="1" applyProtection="1">
      <alignment horizontal="center" vertical="center"/>
      <protection hidden="1"/>
    </xf>
    <xf numFmtId="165" fontId="32" fillId="7" borderId="41" xfId="0" applyNumberFormat="1" applyFont="1" applyFill="1" applyBorder="1" applyAlignment="1" applyProtection="1">
      <alignment horizontal="center" vertical="center"/>
      <protection hidden="1"/>
    </xf>
    <xf numFmtId="0" fontId="23" fillId="0" borderId="37" xfId="0" applyFont="1" applyBorder="1" applyAlignment="1" applyProtection="1">
      <alignment horizontal="center" vertical="center"/>
      <protection hidden="1"/>
    </xf>
    <xf numFmtId="0" fontId="23" fillId="0" borderId="37" xfId="0" applyFont="1" applyBorder="1" applyAlignment="1">
      <alignment horizontal="center" vertical="center"/>
    </xf>
    <xf numFmtId="2" fontId="31" fillId="4" borderId="35" xfId="0" applyNumberFormat="1" applyFont="1" applyFill="1" applyBorder="1" applyAlignment="1" applyProtection="1">
      <alignment horizontal="center" vertical="center"/>
      <protection hidden="1"/>
    </xf>
    <xf numFmtId="2" fontId="31" fillId="4" borderId="41" xfId="0" applyNumberFormat="1" applyFont="1" applyFill="1" applyBorder="1" applyAlignment="1" applyProtection="1">
      <alignment horizontal="center" vertical="center"/>
      <protection hidden="1"/>
    </xf>
    <xf numFmtId="10" fontId="29" fillId="4" borderId="41" xfId="5" applyNumberFormat="1" applyFont="1" applyFill="1" applyBorder="1" applyAlignment="1" applyProtection="1">
      <alignment horizontal="center" vertical="center"/>
      <protection hidden="1"/>
    </xf>
    <xf numFmtId="2" fontId="31" fillId="8" borderId="41" xfId="0" applyNumberFormat="1" applyFont="1" applyFill="1" applyBorder="1" applyAlignment="1" applyProtection="1">
      <alignment horizontal="center" vertical="center"/>
      <protection hidden="1"/>
    </xf>
    <xf numFmtId="2" fontId="31" fillId="9" borderId="41" xfId="0" applyNumberFormat="1" applyFont="1" applyFill="1" applyBorder="1" applyAlignment="1" applyProtection="1">
      <alignment horizontal="center" vertical="center"/>
      <protection hidden="1"/>
    </xf>
    <xf numFmtId="2" fontId="31" fillId="10" borderId="41" xfId="0" applyNumberFormat="1" applyFont="1" applyFill="1" applyBorder="1" applyAlignment="1" applyProtection="1">
      <alignment horizontal="center" vertical="center"/>
      <protection hidden="1"/>
    </xf>
    <xf numFmtId="0" fontId="31" fillId="4" borderId="41" xfId="0" applyFont="1" applyFill="1" applyBorder="1" applyAlignment="1">
      <alignment vertical="center"/>
    </xf>
    <xf numFmtId="0" fontId="30" fillId="0" borderId="33" xfId="0" applyFont="1" applyBorder="1" applyAlignment="1">
      <alignment horizontal="center" vertical="center"/>
    </xf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34" fillId="0" borderId="33" xfId="0" applyFont="1" applyBorder="1" applyAlignment="1">
      <alignment horizontal="center" vertical="center"/>
    </xf>
    <xf numFmtId="0" fontId="35" fillId="7" borderId="38" xfId="0" applyFont="1" applyFill="1" applyBorder="1" applyAlignment="1">
      <alignment horizontal="center" vertical="center" wrapText="1"/>
    </xf>
    <xf numFmtId="0" fontId="35" fillId="7" borderId="42" xfId="0" applyFont="1" applyFill="1" applyBorder="1" applyAlignment="1">
      <alignment horizontal="center" vertical="center" wrapText="1"/>
    </xf>
    <xf numFmtId="0" fontId="35" fillId="7" borderId="42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/>
    </xf>
    <xf numFmtId="0" fontId="1" fillId="0" borderId="43" xfId="0" applyFont="1" applyBorder="1"/>
    <xf numFmtId="0" fontId="24" fillId="0" borderId="43" xfId="0" applyFont="1" applyBorder="1" applyAlignment="1">
      <alignment horizontal="center" vertical="center"/>
    </xf>
    <xf numFmtId="0" fontId="24" fillId="0" borderId="43" xfId="0" applyFont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36" fillId="7" borderId="37" xfId="0" applyFont="1" applyFill="1" applyBorder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36" fillId="7" borderId="37" xfId="0" applyFont="1" applyFill="1" applyBorder="1" applyAlignment="1">
      <alignment vertical="center"/>
    </xf>
    <xf numFmtId="0" fontId="34" fillId="7" borderId="37" xfId="0" applyFont="1" applyFill="1" applyBorder="1"/>
    <xf numFmtId="0" fontId="20" fillId="7" borderId="37" xfId="0" applyFont="1" applyFill="1" applyBorder="1" applyAlignment="1">
      <alignment vertical="center"/>
    </xf>
    <xf numFmtId="0" fontId="1" fillId="7" borderId="37" xfId="0" applyFont="1" applyFill="1" applyBorder="1"/>
    <xf numFmtId="0" fontId="1" fillId="7" borderId="38" xfId="0" applyFont="1" applyFill="1" applyBorder="1"/>
    <xf numFmtId="164" fontId="0" fillId="4" borderId="0" xfId="0" applyNumberFormat="1" applyFill="1" applyAlignment="1">
      <alignment horizontal="left" vertical="center"/>
    </xf>
    <xf numFmtId="164" fontId="38" fillId="0" borderId="0" xfId="0" applyNumberFormat="1" applyFont="1" applyAlignment="1">
      <alignment horizontal="center" vertical="center"/>
    </xf>
    <xf numFmtId="0" fontId="1" fillId="11" borderId="0" xfId="0" applyFont="1" applyFill="1"/>
    <xf numFmtId="0" fontId="39" fillId="0" borderId="0" xfId="0" applyFont="1" applyAlignment="1">
      <alignment horizontal="center" vertical="center"/>
    </xf>
    <xf numFmtId="0" fontId="36" fillId="7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20" fillId="7" borderId="0" xfId="0" applyFont="1" applyFill="1" applyAlignment="1">
      <alignment vertical="center"/>
    </xf>
    <xf numFmtId="0" fontId="41" fillId="7" borderId="0" xfId="0" applyFont="1" applyFill="1" applyAlignment="1">
      <alignment vertical="center"/>
    </xf>
    <xf numFmtId="0" fontId="1" fillId="7" borderId="0" xfId="0" applyFont="1" applyFill="1"/>
    <xf numFmtId="0" fontId="1" fillId="7" borderId="40" xfId="0" applyFont="1" applyFill="1" applyBorder="1"/>
    <xf numFmtId="0" fontId="38" fillId="12" borderId="0" xfId="0" applyFont="1" applyFill="1" applyAlignment="1">
      <alignment horizontal="center" vertical="center"/>
    </xf>
    <xf numFmtId="0" fontId="20" fillId="7" borderId="43" xfId="0" applyFont="1" applyFill="1" applyBorder="1" applyAlignment="1">
      <alignment vertical="center"/>
    </xf>
    <xf numFmtId="0" fontId="1" fillId="7" borderId="43" xfId="0" applyFont="1" applyFill="1" applyBorder="1"/>
    <xf numFmtId="164" fontId="21" fillId="7" borderId="43" xfId="0" applyNumberFormat="1" applyFont="1" applyFill="1" applyBorder="1"/>
    <xf numFmtId="0" fontId="21" fillId="7" borderId="45" xfId="0" applyFont="1" applyFill="1" applyBorder="1"/>
    <xf numFmtId="0" fontId="12" fillId="4" borderId="0" xfId="0" applyFont="1" applyFill="1" applyAlignment="1">
      <alignment horizontal="center" wrapText="1"/>
    </xf>
    <xf numFmtId="1" fontId="0" fillId="0" borderId="0" xfId="0" applyNumberFormat="1"/>
    <xf numFmtId="10" fontId="44" fillId="4" borderId="41" xfId="5" applyNumberFormat="1" applyFont="1" applyFill="1" applyBorder="1" applyAlignment="1" applyProtection="1">
      <alignment horizontal="center" vertical="center"/>
      <protection hidden="1"/>
    </xf>
    <xf numFmtId="0" fontId="22" fillId="0" borderId="35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164" fontId="37" fillId="7" borderId="0" xfId="0" applyNumberFormat="1" applyFont="1" applyFill="1" applyAlignment="1">
      <alignment horizontal="center" vertical="center"/>
    </xf>
    <xf numFmtId="0" fontId="37" fillId="7" borderId="37" xfId="0" applyFont="1" applyFill="1" applyBorder="1" applyAlignment="1">
      <alignment horizontal="center" vertical="center"/>
    </xf>
    <xf numFmtId="0" fontId="21" fillId="7" borderId="37" xfId="0" applyFont="1" applyFill="1" applyBorder="1" applyAlignment="1">
      <alignment horizontal="left" vertical="center"/>
    </xf>
    <xf numFmtId="0" fontId="36" fillId="7" borderId="37" xfId="0" applyFont="1" applyFill="1" applyBorder="1" applyAlignment="1">
      <alignment horizontal="left" vertical="center"/>
    </xf>
    <xf numFmtId="0" fontId="36" fillId="7" borderId="36" xfId="0" applyFont="1" applyFill="1" applyBorder="1" applyAlignment="1">
      <alignment horizontal="left" vertical="center"/>
    </xf>
    <xf numFmtId="0" fontId="33" fillId="7" borderId="41" xfId="0" applyFont="1" applyFill="1" applyBorder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6" fillId="0" borderId="37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4" fillId="0" borderId="35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6" fillId="7" borderId="43" xfId="0" applyFont="1" applyFill="1" applyBorder="1" applyAlignment="1">
      <alignment horizontal="center" vertical="center"/>
    </xf>
    <xf numFmtId="0" fontId="43" fillId="7" borderId="43" xfId="0" applyFont="1" applyFill="1" applyBorder="1" applyAlignment="1">
      <alignment horizontal="right" vertical="center"/>
    </xf>
    <xf numFmtId="0" fontId="42" fillId="7" borderId="43" xfId="4" applyFont="1" applyFill="1" applyBorder="1" applyAlignment="1" applyProtection="1">
      <alignment horizontal="center" vertical="center"/>
      <protection locked="0"/>
    </xf>
    <xf numFmtId="0" fontId="42" fillId="7" borderId="44" xfId="4" applyFont="1" applyFill="1" applyBorder="1" applyAlignment="1" applyProtection="1">
      <alignment horizontal="center" vertical="center"/>
      <protection locked="0"/>
    </xf>
    <xf numFmtId="0" fontId="3" fillId="0" borderId="46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8" fillId="4" borderId="16" xfId="0" applyFont="1" applyFill="1" applyBorder="1" applyAlignment="1">
      <alignment horizontal="left" wrapText="1"/>
    </xf>
    <xf numFmtId="0" fontId="18" fillId="4" borderId="15" xfId="0" applyFont="1" applyFill="1" applyBorder="1" applyAlignment="1">
      <alignment horizontal="left" wrapText="1"/>
    </xf>
    <xf numFmtId="0" fontId="18" fillId="4" borderId="30" xfId="0" applyFont="1" applyFill="1" applyBorder="1" applyAlignment="1">
      <alignment horizontal="left" wrapText="1"/>
    </xf>
    <xf numFmtId="0" fontId="12" fillId="4" borderId="16" xfId="0" applyFont="1" applyFill="1" applyBorder="1" applyAlignment="1">
      <alignment horizontal="left" wrapText="1"/>
    </xf>
    <xf numFmtId="0" fontId="12" fillId="4" borderId="15" xfId="0" applyFont="1" applyFill="1" applyBorder="1" applyAlignment="1">
      <alignment horizontal="left" wrapText="1"/>
    </xf>
    <xf numFmtId="0" fontId="12" fillId="4" borderId="30" xfId="0" applyFont="1" applyFill="1" applyBorder="1" applyAlignment="1">
      <alignment horizontal="left" wrapText="1"/>
    </xf>
    <xf numFmtId="0" fontId="12" fillId="4" borderId="16" xfId="0" applyFont="1" applyFill="1" applyBorder="1" applyAlignment="1">
      <alignment horizontal="center" wrapText="1"/>
    </xf>
    <xf numFmtId="0" fontId="12" fillId="4" borderId="15" xfId="0" applyFont="1" applyFill="1" applyBorder="1" applyAlignment="1">
      <alignment horizontal="center" wrapText="1"/>
    </xf>
    <xf numFmtId="0" fontId="12" fillId="4" borderId="30" xfId="0" applyFont="1" applyFill="1" applyBorder="1" applyAlignment="1">
      <alignment horizontal="center" wrapText="1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wrapText="1"/>
    </xf>
    <xf numFmtId="0" fontId="0" fillId="3" borderId="18" xfId="2" applyFont="1" applyBorder="1" applyAlignment="1">
      <alignment horizontal="center"/>
    </xf>
    <xf numFmtId="0" fontId="0" fillId="3" borderId="19" xfId="2" applyFont="1" applyBorder="1" applyAlignment="1">
      <alignment horizontal="center"/>
    </xf>
    <xf numFmtId="0" fontId="3" fillId="3" borderId="21" xfId="2" applyFont="1" applyBorder="1" applyAlignment="1">
      <alignment horizontal="center" vertical="center" wrapText="1"/>
    </xf>
    <xf numFmtId="0" fontId="3" fillId="3" borderId="22" xfId="2" applyFont="1" applyBorder="1" applyAlignment="1">
      <alignment horizontal="center" vertical="center" wrapText="1"/>
    </xf>
    <xf numFmtId="0" fontId="3" fillId="3" borderId="23" xfId="2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9" fillId="2" borderId="5" xfId="1" applyFont="1" applyBorder="1" applyAlignment="1">
      <alignment horizontal="center"/>
    </xf>
    <xf numFmtId="0" fontId="9" fillId="2" borderId="6" xfId="1" applyFont="1" applyBorder="1" applyAlignment="1">
      <alignment horizontal="center"/>
    </xf>
    <xf numFmtId="0" fontId="9" fillId="2" borderId="7" xfId="1" applyFont="1" applyBorder="1" applyAlignment="1">
      <alignment horizontal="center"/>
    </xf>
    <xf numFmtId="0" fontId="9" fillId="2" borderId="8" xfId="1" applyFont="1" applyBorder="1" applyAlignment="1">
      <alignment horizontal="center"/>
    </xf>
    <xf numFmtId="0" fontId="9" fillId="2" borderId="0" xfId="1" applyFont="1" applyBorder="1" applyAlignment="1">
      <alignment horizontal="center"/>
    </xf>
    <xf numFmtId="0" fontId="9" fillId="2" borderId="9" xfId="1" applyFont="1" applyBorder="1" applyAlignment="1">
      <alignment horizontal="center"/>
    </xf>
    <xf numFmtId="0" fontId="9" fillId="2" borderId="4" xfId="1" applyFont="1" applyBorder="1" applyAlignment="1">
      <alignment horizontal="center"/>
    </xf>
    <xf numFmtId="0" fontId="9" fillId="2" borderId="11" xfId="1" applyFont="1" applyBorder="1" applyAlignment="1">
      <alignment horizontal="center"/>
    </xf>
    <xf numFmtId="0" fontId="14" fillId="4" borderId="10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6" fillId="4" borderId="28" xfId="0" applyFont="1" applyFill="1" applyBorder="1" applyAlignment="1">
      <alignment horizontal="center" vertical="center"/>
    </xf>
    <xf numFmtId="0" fontId="0" fillId="4" borderId="16" xfId="0" applyFill="1" applyBorder="1" applyAlignment="1">
      <alignment wrapText="1"/>
    </xf>
    <xf numFmtId="0" fontId="0" fillId="4" borderId="15" xfId="0" applyFill="1" applyBorder="1" applyAlignment="1">
      <alignment wrapText="1"/>
    </xf>
    <xf numFmtId="0" fontId="0" fillId="4" borderId="30" xfId="0" applyFill="1" applyBorder="1" applyAlignment="1">
      <alignment wrapText="1"/>
    </xf>
    <xf numFmtId="0" fontId="0" fillId="4" borderId="16" xfId="0" applyFill="1" applyBorder="1"/>
    <xf numFmtId="0" fontId="0" fillId="4" borderId="15" xfId="0" applyFill="1" applyBorder="1"/>
    <xf numFmtId="0" fontId="0" fillId="4" borderId="30" xfId="0" applyFill="1" applyBorder="1"/>
    <xf numFmtId="0" fontId="0" fillId="4" borderId="16" xfId="0" applyFill="1" applyBorder="1" applyAlignment="1">
      <alignment horizontal="center" wrapText="1"/>
    </xf>
    <xf numFmtId="0" fontId="0" fillId="4" borderId="15" xfId="0" applyFill="1" applyBorder="1" applyAlignment="1">
      <alignment horizontal="center" wrapText="1"/>
    </xf>
    <xf numFmtId="0" fontId="0" fillId="4" borderId="30" xfId="0" applyFill="1" applyBorder="1" applyAlignment="1">
      <alignment horizontal="center" wrapText="1"/>
    </xf>
    <xf numFmtId="0" fontId="0" fillId="4" borderId="16" xfId="0" applyFill="1" applyBorder="1" applyAlignment="1">
      <alignment horizontal="left" wrapText="1"/>
    </xf>
    <xf numFmtId="0" fontId="0" fillId="4" borderId="15" xfId="0" applyFill="1" applyBorder="1" applyAlignment="1">
      <alignment horizontal="left" wrapText="1"/>
    </xf>
    <xf numFmtId="0" fontId="0" fillId="4" borderId="30" xfId="0" applyFill="1" applyBorder="1" applyAlignment="1">
      <alignment horizontal="left" wrapText="1"/>
    </xf>
    <xf numFmtId="0" fontId="3" fillId="3" borderId="21" xfId="2" applyFont="1" applyBorder="1" applyAlignment="1">
      <alignment horizontal="left" vertical="center" wrapText="1"/>
    </xf>
    <xf numFmtId="0" fontId="3" fillId="3" borderId="22" xfId="2" applyFont="1" applyBorder="1" applyAlignment="1">
      <alignment horizontal="left" vertical="center" wrapText="1"/>
    </xf>
    <xf numFmtId="0" fontId="3" fillId="3" borderId="23" xfId="2" applyFont="1" applyBorder="1" applyAlignment="1">
      <alignment horizontal="left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2" fillId="4" borderId="16" xfId="0" applyFont="1" applyFill="1" applyBorder="1" applyAlignment="1">
      <alignment horizontal="left"/>
    </xf>
    <xf numFmtId="0" fontId="12" fillId="4" borderId="15" xfId="0" applyFont="1" applyFill="1" applyBorder="1" applyAlignment="1">
      <alignment horizontal="left"/>
    </xf>
    <xf numFmtId="0" fontId="12" fillId="4" borderId="30" xfId="0" applyFont="1" applyFill="1" applyBorder="1" applyAlignment="1">
      <alignment horizontal="left"/>
    </xf>
    <xf numFmtId="0" fontId="15" fillId="0" borderId="16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12" fillId="0" borderId="30" xfId="0" applyFont="1" applyBorder="1" applyAlignment="1">
      <alignment horizontal="left"/>
    </xf>
    <xf numFmtId="0" fontId="12" fillId="5" borderId="16" xfId="0" applyFont="1" applyFill="1" applyBorder="1" applyAlignment="1">
      <alignment horizontal="center" wrapText="1"/>
    </xf>
    <xf numFmtId="0" fontId="12" fillId="5" borderId="15" xfId="0" applyFont="1" applyFill="1" applyBorder="1" applyAlignment="1">
      <alignment horizontal="center" wrapText="1"/>
    </xf>
    <xf numFmtId="0" fontId="12" fillId="5" borderId="30" xfId="0" applyFont="1" applyFill="1" applyBorder="1" applyAlignment="1">
      <alignment horizontal="center" wrapText="1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31" xfId="0" applyFont="1" applyBorder="1" applyAlignment="1">
      <alignment horizontal="center"/>
    </xf>
  </cellXfs>
  <cellStyles count="6">
    <cellStyle name="Neutral" xfId="1" builtinId="28"/>
    <cellStyle name="Normal" xfId="0" builtinId="0"/>
    <cellStyle name="Note" xfId="2" builtinId="10"/>
    <cellStyle name="Output" xfId="4" builtinId="21"/>
    <cellStyle name="Percent" xfId="3" builtinId="5"/>
    <cellStyle name="Percent 2" xfId="5" xr:uid="{ECA87A3D-1FB1-4847-83C2-E2D9A59B1BF9}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auto="1"/>
        </left>
        <right style="hair">
          <color indexed="64"/>
        </right>
        <top style="hair">
          <color auto="1"/>
        </top>
        <bottom style="hair">
          <color auto="1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0" tint="-0.14999847407452621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6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center" textRotation="0" wrapText="0" relative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border>
        <top style="hair">
          <color auto="1"/>
        </top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solid">
          <fgColor rgb="FF000000"/>
          <bgColor rgb="FFFFFFEB"/>
        </patternFill>
      </fill>
      <alignment horizontal="center" vertical="center" textRotation="0" wrapText="0" relativeIndent="0" justifyLastLine="0" shrinkToFit="0" readingOrder="0"/>
    </dxf>
    <dxf>
      <border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</dxf>
    <dxf>
      <fill>
        <patternFill>
          <bgColor rgb="FFFFFFEB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  <border>
        <top style="thin">
          <color auto="1"/>
        </top>
      </border>
    </dxf>
    <dxf>
      <fill>
        <patternFill>
          <bgColor rgb="FFF9F9F9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</dxfs>
  <tableStyles count="1" defaultTableStyle="TableStyleMedium2" defaultPivotStyle="PivotStyleLight16">
    <tableStyle name="Shady" pivot="0" count="4" xr9:uid="{C52685CC-790A-4F31-B0AB-D5186A3325F8}">
      <tableStyleElement type="wholeTable" dxfId="24"/>
      <tableStyleElement type="headerRow" dxfId="23"/>
      <tableStyleElement type="firstColumn" dxfId="22"/>
      <tableStyleElement type="first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545537207030166E-2"/>
          <c:y val="0.13871289061474587"/>
          <c:w val="0.89601475477447678"/>
          <c:h val="0.70716434434028652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Availabilities!$B$20:$E$25</c15:sqref>
                  </c15:fullRef>
                </c:ext>
              </c:extLst>
              <c:f>Availabilities!$B$20:$E$23</c:f>
              <c:strCache>
                <c:ptCount val="3"/>
                <c:pt idx="0">
                  <c:v>All Assets</c:v>
                </c:pt>
                <c:pt idx="1">
                  <c:v>DD</c:v>
                </c:pt>
                <c:pt idx="2">
                  <c:v>RC/GC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Availabilities!$N$20:$N$25</c15:sqref>
                  </c15:fullRef>
                </c:ext>
              </c:extLst>
              <c:f>Availabilities!$N$20:$N$23</c:f>
              <c:numCache>
                <c:formatCode>0.00%</c:formatCode>
                <c:ptCount val="3"/>
                <c:pt idx="0">
                  <c:v>0.77178734507501634</c:v>
                </c:pt>
                <c:pt idx="1">
                  <c:v>0.7883561643835616</c:v>
                </c:pt>
                <c:pt idx="2">
                  <c:v>0.76515981735159821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Availabilities!#REF!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2CE5-421F-B99B-0F7DF5255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3780368"/>
        <c:axId val="251863272"/>
      </c:barChart>
      <c:valAx>
        <c:axId val="251863272"/>
        <c:scaling>
          <c:orientation val="minMax"/>
          <c:max val="1"/>
          <c:min val="0"/>
        </c:scaling>
        <c:delete val="0"/>
        <c:axPos val="r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80368"/>
        <c:crosses val="max"/>
        <c:crossBetween val="between"/>
      </c:valAx>
      <c:catAx>
        <c:axId val="114378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632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b="1">
          <a:solidFill>
            <a:schemeClr val="bg1"/>
          </a:solidFill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479613923286284E-2"/>
          <c:y val="0.23531847116485041"/>
          <c:w val="0.82622383740494065"/>
          <c:h val="0.9933774649850175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1C4-4BAF-B2F6-8CDE0276018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1C4-4BAF-B2F6-8CDE0276018D}"/>
              </c:ext>
            </c:extLst>
          </c:dPt>
          <c:dLbls>
            <c:dLbl>
              <c:idx val="0"/>
              <c:numFmt formatCode="0.00%" sourceLinked="0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3486244945528049"/>
                      <c:h val="0.1805665349143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1C4-4BAF-B2F6-8CDE0276018D}"/>
                </c:ext>
              </c:extLst>
            </c:dLbl>
            <c:dLbl>
              <c:idx val="1"/>
              <c:numFmt formatCode="0.00%" sourceLinked="0"/>
              <c:spPr>
                <a:solidFill>
                  <a:schemeClr val="lt1"/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5555180391170654"/>
                      <c:h val="0.1021691040891662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1C4-4BAF-B2F6-8CDE0276018D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Availabilities!$N$41:$N$42</c:f>
              <c:strCache>
                <c:ptCount val="2"/>
                <c:pt idx="0">
                  <c:v>PL%</c:v>
                </c:pt>
                <c:pt idx="1">
                  <c:v>UP%</c:v>
                </c:pt>
              </c:strCache>
            </c:strRef>
          </c:cat>
          <c:val>
            <c:numRef>
              <c:f>Availabilities!$O$41:$O$42</c:f>
              <c:numCache>
                <c:formatCode>General</c:formatCode>
                <c:ptCount val="2"/>
                <c:pt idx="0">
                  <c:v>0.22392051967902177</c:v>
                </c:pt>
                <c:pt idx="1">
                  <c:v>0.77607948032097818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C4-4BAF-B2F6-8CDE02760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7976703299183"/>
          <c:y val="4.8201071446452711E-3"/>
          <c:w val="0.85775357485212467"/>
          <c:h val="0.73119261853216477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A3-4BFB-B1DB-612DDBC6F149}"/>
                </c:ext>
              </c:extLst>
            </c:dLbl>
            <c:dLbl>
              <c:idx val="1"/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A3-4BFB-B1DB-612DDBC6F1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5326D25-A91C-43F8-851E-2A553074501E}" type="VALUE">
                      <a:rPr lang="en-US" b="1"/>
                      <a:pPr/>
                      <a:t>[VALUE]</a:t>
                    </a:fld>
                    <a:endParaRPr lang="en-ID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DA3-4BFB-B1DB-612DDBC6F14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multiLvlStrRef>
              <c:extLst>
                <c:ext xmlns:c15="http://schemas.microsoft.com/office/drawing/2012/chart" uri="{02D57815-91ED-43cb-92C2-25804820EDAC}">
                  <c15:fullRef>
                    <c15:sqref>[3]Calculation!$Q$40:$T$45</c15:sqref>
                  </c15:fullRef>
                </c:ext>
              </c:extLst>
              <c:f>[3]Calculation!$Q$40:$T$42</c:f>
              <c:multiLvlStrCache>
                <c:ptCount val="3"/>
                <c:lvl/>
                <c:lvl/>
                <c:lvl/>
                <c:lvl>
                  <c:pt idx="0">
                    <c:v>All RIGs</c:v>
                  </c:pt>
                  <c:pt idx="1">
                    <c:v>DD</c:v>
                  </c:pt>
                  <c:pt idx="2">
                    <c:v>RC/GC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[3]Calculation!$AC$40:$AC$45</c15:sqref>
                  </c15:fullRef>
                </c:ext>
              </c:extLst>
              <c:f>[3]Calculation!$AC$40:$AC$42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Availabilities!#REF!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categoryFilterExceptions>
                <c15:categoryFilterException>
                  <c15:sqref>[3]Calculation!$AC$43</c15:sqref>
                  <c15:dLbl>
                    <c:idx val="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66C7-4C24-9634-F9C2861E491F}"/>
                      </c:ext>
                    </c:extLst>
                  </c15:dLbl>
                </c15:categoryFilterException>
                <c15:categoryFilterException>
                  <c15:sqref>[3]Calculation!$AC$44</c15:sqref>
                  <c15:dLbl>
                    <c:idx val="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6="http://schemas.microsoft.com/office/drawing/2014/chart">
                      <c:ext uri="{CE6537A1-D6FC-4f65-9D91-7224C49458BB}"/>
                      <c:ext xmlns:c16="http://schemas.microsoft.com/office/drawing/2014/chart" uri="{C3380CC4-5D6E-409C-BE32-E72D297353CC}">
                        <c16:uniqueId val="{00000002-66C7-4C24-9634-F9C2861E491F}"/>
                      </c:ext>
                    </c:extLst>
                  </c15:dLbl>
                </c15:categoryFilterException>
                <c15:categoryFilterException>
                  <c15:sqref>[3]Calculation!$AC$45</c15:sqref>
                  <c15:dLbl>
                    <c:idx val="2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6C7-4C24-9634-F9C2861E491F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4-8DA3-4BFB-B1DB-612DDBC6F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3775664"/>
        <c:axId val="1143780760"/>
      </c:barChart>
      <c:valAx>
        <c:axId val="114378076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75664"/>
        <c:crossesAt val="1"/>
        <c:crossBetween val="between"/>
      </c:valAx>
      <c:catAx>
        <c:axId val="1143775664"/>
        <c:scaling>
          <c:orientation val="minMax"/>
        </c:scaling>
        <c:delete val="0"/>
        <c:axPos val="b"/>
        <c:numFmt formatCode="0.0%" sourceLinked="0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780760"/>
        <c:crosses val="autoZero"/>
        <c:auto val="1"/>
        <c:lblAlgn val="ctr"/>
        <c:lblOffset val="100"/>
        <c:tickLblSkip val="1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80296594838017"/>
          <c:y val="5.8205189252494759E-2"/>
          <c:w val="0.77023116369941003"/>
          <c:h val="0.815162913480847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505E-42D7-A50B-0CC099BE8AD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505E-42D7-A50B-0CC099BE8AD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505E-42D7-A50B-0CC099BE8AD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505E-42D7-A50B-0CC099BE8ADB}"/>
              </c:ext>
            </c:extLst>
          </c:dPt>
          <c:dLbls>
            <c:dLbl>
              <c:idx val="0"/>
              <c:layout>
                <c:manualLayout>
                  <c:x val="-8.1855016630003608E-2"/>
                  <c:y val="0.1758633802168044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5E-42D7-A50B-0CC099BE8ADB}"/>
                </c:ext>
              </c:extLst>
            </c:dLbl>
            <c:dLbl>
              <c:idx val="1"/>
              <c:layout>
                <c:manualLayout>
                  <c:x val="-4.7966422041494629E-2"/>
                  <c:y val="-0.2944058412125311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05E-42D7-A50B-0CC099BE8ADB}"/>
                </c:ext>
              </c:extLst>
            </c:dLbl>
            <c:dLbl>
              <c:idx val="2"/>
              <c:layout>
                <c:manualLayout>
                  <c:x val="9.6261322560333609E-2"/>
                  <c:y val="-8.6047163527880333E-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05E-42D7-A50B-0CC099BE8ADB}"/>
                </c:ext>
              </c:extLst>
            </c:dLbl>
            <c:dLbl>
              <c:idx val="3"/>
              <c:layout>
                <c:manualLayout>
                  <c:x val="9.5620423760430881E-2"/>
                  <c:y val="0.1934440962822471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5E-42D7-A50B-0CC099BE8ADB}"/>
                </c:ext>
              </c:extLst>
            </c:dLbl>
            <c:numFmt formatCode="0.00%" sourceLinked="0"/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Availabilities!$P$41:$P$44</c:f>
              <c:strCache>
                <c:ptCount val="4"/>
                <c:pt idx="0">
                  <c:v>SR%</c:v>
                </c:pt>
                <c:pt idx="1">
                  <c:v>BD%</c:v>
                </c:pt>
                <c:pt idx="2">
                  <c:v>WP%</c:v>
                </c:pt>
                <c:pt idx="3">
                  <c:v>OD%</c:v>
                </c:pt>
              </c:strCache>
            </c:strRef>
          </c:cat>
          <c:val>
            <c:numRef>
              <c:f>Availabilities!$Q$41:$Q$44</c:f>
              <c:numCache>
                <c:formatCode>General</c:formatCode>
                <c:ptCount val="4"/>
                <c:pt idx="0">
                  <c:v>5.7596625918481664E-2</c:v>
                </c:pt>
                <c:pt idx="1">
                  <c:v>0.48008171603677224</c:v>
                </c:pt>
                <c:pt idx="2">
                  <c:v>0.28864212988895843</c:v>
                </c:pt>
                <c:pt idx="3">
                  <c:v>0.17367952815578766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05E-42D7-A50B-0CC099BE8A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90074943799958307"/>
          <c:w val="0.89981346764744397"/>
          <c:h val="9.76569335083114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01340720545848"/>
          <c:y val="0"/>
          <c:w val="0.8895435190233022"/>
          <c:h val="0.8718908660571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[3]Calculation!$E$186:$E$189</c:f>
              <c:strCache>
                <c:ptCount val="1"/>
                <c:pt idx="0">
                  <c:v>#REF! #REF! #REF! Current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-7.7246312323696246E-18"/>
                  <c:y val="3.9473700569292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D2B-4360-B288-9F74FCE6C4B2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[3]Calculation!$E$186:$E$189</c:f>
              <c:strCache>
                <c:ptCount val="4"/>
                <c:pt idx="0">
                  <c:v>#REF!</c:v>
                </c:pt>
                <c:pt idx="1">
                  <c:v>#REF!</c:v>
                </c:pt>
                <c:pt idx="2">
                  <c:v>#REF!</c:v>
                </c:pt>
                <c:pt idx="3">
                  <c:v>Current</c:v>
                </c:pt>
              </c:strCache>
            </c:strRef>
          </c:cat>
          <c:val>
            <c:numRef>
              <c:f>[3]Calculation!$F$186:$F$189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2B-4360-B288-9F74FCE6C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51862096"/>
        <c:axId val="251850728"/>
      </c:barChart>
      <c:catAx>
        <c:axId val="25186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50728"/>
        <c:crosses val="autoZero"/>
        <c:auto val="1"/>
        <c:lblAlgn val="ctr"/>
        <c:lblOffset val="100"/>
        <c:noMultiLvlLbl val="0"/>
      </c:catAx>
      <c:valAx>
        <c:axId val="25185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62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rgbClr val="FFFF00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FF00"/>
                </a:solidFill>
              </a:rPr>
              <a:t>MECHANICAL</a:t>
            </a:r>
            <a:r>
              <a:rPr lang="en-US" baseline="0">
                <a:solidFill>
                  <a:srgbClr val="FFFF00"/>
                </a:solidFill>
              </a:rPr>
              <a:t> </a:t>
            </a:r>
            <a:r>
              <a:rPr lang="en-US">
                <a:solidFill>
                  <a:srgbClr val="FFFF00"/>
                </a:solidFill>
              </a:rPr>
              <a:t>AVAILABILITIES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416751004512123E-2"/>
          <c:y val="0.12086604256692883"/>
          <c:w val="0.92319772202953665"/>
          <c:h val="0.677542390378887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Availabilities!$B$9:$B$18</c:f>
              <c:strCache>
                <c:ptCount val="10"/>
                <c:pt idx="0">
                  <c:v>DR 01</c:v>
                </c:pt>
                <c:pt idx="1">
                  <c:v>DR 02</c:v>
                </c:pt>
                <c:pt idx="2">
                  <c:v>DR 03</c:v>
                </c:pt>
                <c:pt idx="3">
                  <c:v>DR 04</c:v>
                </c:pt>
                <c:pt idx="4">
                  <c:v>DR 05</c:v>
                </c:pt>
                <c:pt idx="5">
                  <c:v>DR 10</c:v>
                </c:pt>
                <c:pt idx="6">
                  <c:v>DR 12</c:v>
                </c:pt>
                <c:pt idx="7">
                  <c:v>RIG-0165</c:v>
                </c:pt>
                <c:pt idx="8">
                  <c:v>RIG-0166</c:v>
                </c:pt>
                <c:pt idx="9">
                  <c:v>RIG-0177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4FA4-4382-A163-80C01B2FF66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4FA4-4382-A163-80C01B2FF66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2-4FA4-4382-A163-80C01B2FF66D}"/>
                </c:ext>
              </c:extLst>
            </c:dLbl>
            <c:dLbl>
              <c:idx val="3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FA4-4382-A163-80C01B2FF66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-540000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rgbClr val="FFFF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4-4FA4-4382-A163-80C01B2FF6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Availabilities!$B$9:$B$18</c:f>
              <c:strCache>
                <c:ptCount val="7"/>
                <c:pt idx="0">
                  <c:v>DR 01</c:v>
                </c:pt>
                <c:pt idx="1">
                  <c:v>DR 02</c:v>
                </c:pt>
                <c:pt idx="2">
                  <c:v>DR 03</c:v>
                </c:pt>
                <c:pt idx="3">
                  <c:v>DR 04</c:v>
                </c:pt>
                <c:pt idx="4">
                  <c:v>DR 05</c:v>
                </c:pt>
                <c:pt idx="5">
                  <c:v>DR 10</c:v>
                </c:pt>
                <c:pt idx="6">
                  <c:v>DR 12</c:v>
                </c:pt>
              </c:strCache>
            </c:strRef>
          </c:cat>
          <c:val>
            <c:numRef>
              <c:f>Availabilities!$N$9:$N$18</c:f>
              <c:numCache>
                <c:formatCode>0.00%</c:formatCode>
                <c:ptCount val="7"/>
                <c:pt idx="0">
                  <c:v>1</c:v>
                </c:pt>
                <c:pt idx="1">
                  <c:v>0.90388127853881284</c:v>
                </c:pt>
                <c:pt idx="2">
                  <c:v>0.98972602739726023</c:v>
                </c:pt>
                <c:pt idx="3">
                  <c:v>0.99783105022831053</c:v>
                </c:pt>
                <c:pt idx="4">
                  <c:v>0</c:v>
                </c:pt>
                <c:pt idx="5">
                  <c:v>0.92408675799086759</c:v>
                </c:pt>
                <c:pt idx="6">
                  <c:v>0.58698630136986296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A4-4382-A163-80C01B2FF6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94"/>
        <c:overlap val="100"/>
        <c:axId val="251854256"/>
        <c:axId val="251857784"/>
      </c:barChart>
      <c:dateAx>
        <c:axId val="25185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200" b="1" i="1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57784"/>
        <c:crosses val="autoZero"/>
        <c:auto val="0"/>
        <c:lblOffset val="100"/>
        <c:baseTimeUnit val="days"/>
      </c:dateAx>
      <c:valAx>
        <c:axId val="251857784"/>
        <c:scaling>
          <c:orientation val="minMax"/>
          <c:max val="1"/>
          <c:min val="0"/>
        </c:scaling>
        <c:delete val="0"/>
        <c:axPos val="l"/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854256"/>
        <c:crosses val="autoZero"/>
        <c:crossBetween val="between"/>
        <c:majorUnit val="0.1"/>
        <c:minorUnit val="0.1"/>
      </c:valAx>
      <c:spPr>
        <a:noFill/>
        <a:ln w="15875"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3175"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A55-4B53-9551-E2B26B0D9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4351535"/>
        <c:axId val="1224354895"/>
      </c:barChart>
      <c:catAx>
        <c:axId val="122435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354895"/>
        <c:crosses val="autoZero"/>
        <c:auto val="1"/>
        <c:lblAlgn val="ctr"/>
        <c:lblOffset val="100"/>
        <c:noMultiLvlLbl val="0"/>
      </c:catAx>
      <c:valAx>
        <c:axId val="122435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35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3084</xdr:colOff>
      <xdr:row>33</xdr:row>
      <xdr:rowOff>326573</xdr:rowOff>
    </xdr:from>
    <xdr:to>
      <xdr:col>3</xdr:col>
      <xdr:colOff>508000</xdr:colOff>
      <xdr:row>51</xdr:row>
      <xdr:rowOff>107093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3F225-B97E-4AAB-8317-C4F4118A5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316936</xdr:colOff>
      <xdr:row>33</xdr:row>
      <xdr:rowOff>302382</xdr:rowOff>
    </xdr:from>
    <xdr:to>
      <xdr:col>13</xdr:col>
      <xdr:colOff>705971</xdr:colOff>
      <xdr:row>51</xdr:row>
      <xdr:rowOff>107092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E11A36-5561-41E7-8BF6-850F2EAACA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592665</xdr:colOff>
      <xdr:row>34</xdr:row>
      <xdr:rowOff>0</xdr:rowOff>
    </xdr:from>
    <xdr:to>
      <xdr:col>7</xdr:col>
      <xdr:colOff>605294</xdr:colOff>
      <xdr:row>51</xdr:row>
      <xdr:rowOff>103916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857C07-374A-4A63-8273-9598CA504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713017</xdr:colOff>
      <xdr:row>33</xdr:row>
      <xdr:rowOff>290287</xdr:rowOff>
    </xdr:from>
    <xdr:to>
      <xdr:col>16</xdr:col>
      <xdr:colOff>1048987</xdr:colOff>
      <xdr:row>51</xdr:row>
      <xdr:rowOff>86005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D37B3F-34FA-4D73-BA0A-340C48D77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616857</xdr:colOff>
      <xdr:row>33</xdr:row>
      <xdr:rowOff>326572</xdr:rowOff>
    </xdr:from>
    <xdr:to>
      <xdr:col>11</xdr:col>
      <xdr:colOff>291929</xdr:colOff>
      <xdr:row>51</xdr:row>
      <xdr:rowOff>104209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3E3014-9CF3-4CC3-869F-8B2AC5A5E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12684</xdr:colOff>
      <xdr:row>51</xdr:row>
      <xdr:rowOff>123263</xdr:rowOff>
    </xdr:from>
    <xdr:to>
      <xdr:col>17</xdr:col>
      <xdr:colOff>9897</xdr:colOff>
      <xdr:row>75</xdr:row>
      <xdr:rowOff>161739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4EA5DC-F487-4166-910B-FB4991F9FA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515815</xdr:colOff>
      <xdr:row>77</xdr:row>
      <xdr:rowOff>0</xdr:rowOff>
    </xdr:from>
    <xdr:to>
      <xdr:col>18</xdr:col>
      <xdr:colOff>281354</xdr:colOff>
      <xdr:row>77</xdr:row>
      <xdr:rowOff>11722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9B7A4E-9A10-4E6F-809D-DFD3571FB4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9</xdr:row>
      <xdr:rowOff>47625</xdr:rowOff>
    </xdr:from>
    <xdr:to>
      <xdr:col>7</xdr:col>
      <xdr:colOff>1832417</xdr:colOff>
      <xdr:row>11</xdr:row>
      <xdr:rowOff>365760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0D692-87F8-4F6C-82E0-88664A718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9895" y="1114425"/>
          <a:ext cx="5254432" cy="683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9</xdr:row>
      <xdr:rowOff>47625</xdr:rowOff>
    </xdr:from>
    <xdr:to>
      <xdr:col>7</xdr:col>
      <xdr:colOff>1943598</xdr:colOff>
      <xdr:row>11</xdr:row>
      <xdr:rowOff>411480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AB8519-0EF5-4297-BA1D-A1ECE6E67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9895" y="1114425"/>
          <a:ext cx="5183505" cy="7296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9</xdr:row>
      <xdr:rowOff>47625</xdr:rowOff>
    </xdr:from>
    <xdr:to>
      <xdr:col>7</xdr:col>
      <xdr:colOff>1405890</xdr:colOff>
      <xdr:row>11</xdr:row>
      <xdr:rowOff>365760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3F497-6AD3-4562-A91F-595870FF6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9895" y="1114425"/>
          <a:ext cx="5183505" cy="6838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9</xdr:row>
      <xdr:rowOff>47625</xdr:rowOff>
    </xdr:from>
    <xdr:to>
      <xdr:col>7</xdr:col>
      <xdr:colOff>1768917</xdr:colOff>
      <xdr:row>11</xdr:row>
      <xdr:rowOff>411480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15A2F-C950-4E17-8300-49670A25E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9895" y="1114425"/>
          <a:ext cx="5254432" cy="7296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9</xdr:row>
      <xdr:rowOff>47625</xdr:rowOff>
    </xdr:from>
    <xdr:to>
      <xdr:col>7</xdr:col>
      <xdr:colOff>1768917</xdr:colOff>
      <xdr:row>11</xdr:row>
      <xdr:rowOff>411480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FBA91-EA09-4C6A-9CAC-79D7FE283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9895" y="1114425"/>
          <a:ext cx="5237922" cy="7296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9</xdr:row>
      <xdr:rowOff>47625</xdr:rowOff>
    </xdr:from>
    <xdr:to>
      <xdr:col>7</xdr:col>
      <xdr:colOff>1768917</xdr:colOff>
      <xdr:row>11</xdr:row>
      <xdr:rowOff>411480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CDE88E-D1C4-4D05-8755-490D7CDF7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9895" y="1114425"/>
          <a:ext cx="5237922" cy="7296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apital%20Drilling\32.%20Mali\2021-Exploration%20Service%20Sheet%20Update-West%20Africa-Mali-V4-Te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2.1.1.211\maintenance\Maintenance\Planning\Cost%20Control%20v's%20Budget\DCC-Project%20Penjo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QUINOX%20GUINEA\MAINTENANCE%20PLAN\2026%20-%20Maintenance%20Machine%20History%20Data%20Base-Guinea-Driling%20Rigs-V2.xlsb" TargetMode="External"/><Relationship Id="rId1" Type="http://schemas.openxmlformats.org/officeDocument/2006/relationships/externalLinkPath" Target="2026%20-%20Maintenance%20Machine%20History%20Data%20Base-Guinea-Driling%20Rigs-V2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FILE%20HERIANTO\CAPITAL%20DRILL\2024-Maintenance%20Machine%20History%20Data%20Base-Gabon-Driling%20Rigs-V2.xlsb" TargetMode="External"/><Relationship Id="rId1" Type="http://schemas.openxmlformats.org/officeDocument/2006/relationships/externalLinkPath" Target="/FILE%20HERIANTO/CAPITAL%20DRILL/2024-Maintenance%20Machine%20History%20Data%20Base-Gabon-Driling%20Rigs-V2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Cal"/>
      <sheetName val="CoPas"/>
      <sheetName val="Weekly Plan PS"/>
      <sheetName val="Breakdown Continue"/>
      <sheetName val="pv BL"/>
      <sheetName val="Reference"/>
      <sheetName val="BL (2)"/>
      <sheetName val="BL"/>
      <sheetName val="PPM &amp; PPU"/>
    </sheetNames>
    <sheetDataSet>
      <sheetData sheetId="0"/>
      <sheetData sheetId="1">
        <row r="4">
          <cell r="Y4" t="str">
            <v>Plan Date</v>
          </cell>
        </row>
      </sheetData>
      <sheetData sheetId="2"/>
      <sheetData sheetId="3"/>
      <sheetData sheetId="4">
        <row r="4">
          <cell r="J4" t="str">
            <v/>
          </cell>
          <cell r="L4" t="str">
            <v/>
          </cell>
        </row>
        <row r="5">
          <cell r="J5" t="str">
            <v>UC</v>
          </cell>
          <cell r="L5">
            <v>0</v>
          </cell>
        </row>
        <row r="6">
          <cell r="J6" t="str">
            <v>PPA</v>
          </cell>
          <cell r="L6">
            <v>0</v>
          </cell>
        </row>
        <row r="7">
          <cell r="J7" t="str">
            <v>OTHER</v>
          </cell>
          <cell r="L7">
            <v>0</v>
          </cell>
        </row>
        <row r="8">
          <cell r="J8" t="str">
            <v>PPA</v>
          </cell>
          <cell r="L8">
            <v>0</v>
          </cell>
        </row>
        <row r="9">
          <cell r="J9" t="str">
            <v/>
          </cell>
          <cell r="L9" t="str">
            <v/>
          </cell>
        </row>
        <row r="10">
          <cell r="J10" t="str">
            <v/>
          </cell>
          <cell r="L10" t="str">
            <v/>
          </cell>
        </row>
        <row r="11">
          <cell r="J11" t="str">
            <v/>
          </cell>
          <cell r="L11" t="str">
            <v/>
          </cell>
        </row>
        <row r="12">
          <cell r="J12" t="str">
            <v/>
          </cell>
          <cell r="L12" t="str">
            <v/>
          </cell>
        </row>
        <row r="13">
          <cell r="J13" t="str">
            <v/>
          </cell>
          <cell r="L13" t="str">
            <v/>
          </cell>
        </row>
        <row r="14">
          <cell r="J14" t="str">
            <v/>
          </cell>
          <cell r="L14" t="str">
            <v/>
          </cell>
        </row>
        <row r="15">
          <cell r="J15" t="str">
            <v/>
          </cell>
          <cell r="L15" t="str">
            <v/>
          </cell>
        </row>
        <row r="16">
          <cell r="J16" t="str">
            <v/>
          </cell>
          <cell r="L16" t="str">
            <v/>
          </cell>
        </row>
        <row r="17">
          <cell r="J17" t="str">
            <v/>
          </cell>
          <cell r="L17" t="str">
            <v/>
          </cell>
        </row>
        <row r="18">
          <cell r="J18" t="str">
            <v/>
          </cell>
          <cell r="L18" t="str">
            <v/>
          </cell>
        </row>
        <row r="19">
          <cell r="J19" t="str">
            <v/>
          </cell>
          <cell r="L19" t="str">
            <v/>
          </cell>
        </row>
        <row r="20">
          <cell r="J20" t="str">
            <v/>
          </cell>
          <cell r="L20" t="str">
            <v/>
          </cell>
        </row>
        <row r="21">
          <cell r="J21" t="str">
            <v/>
          </cell>
          <cell r="L21" t="str">
            <v/>
          </cell>
        </row>
        <row r="22">
          <cell r="J22" t="str">
            <v/>
          </cell>
          <cell r="L22" t="str">
            <v/>
          </cell>
        </row>
        <row r="23">
          <cell r="J23" t="str">
            <v/>
          </cell>
          <cell r="L23" t="str">
            <v/>
          </cell>
        </row>
        <row r="24">
          <cell r="J24" t="str">
            <v/>
          </cell>
          <cell r="L24" t="str">
            <v/>
          </cell>
        </row>
        <row r="25">
          <cell r="J25" t="str">
            <v/>
          </cell>
          <cell r="L25" t="str">
            <v/>
          </cell>
        </row>
        <row r="26">
          <cell r="J26" t="str">
            <v/>
          </cell>
          <cell r="L26" t="str">
            <v/>
          </cell>
        </row>
      </sheetData>
      <sheetData sheetId="5"/>
      <sheetData sheetId="6">
        <row r="1">
          <cell r="L1" t="str">
            <v>TIPE PS</v>
          </cell>
        </row>
        <row r="2">
          <cell r="B2" t="str">
            <v>BOO-0012</v>
          </cell>
          <cell r="C2" t="str">
            <v>HURRICANE JD 4.5 L</v>
          </cell>
          <cell r="D2" t="str">
            <v>03. BOOSTER</v>
          </cell>
          <cell r="E2" t="str">
            <v>BURKINA FASO</v>
          </cell>
          <cell r="F2" t="str">
            <v>ARROW</v>
          </cell>
          <cell r="G2" t="str">
            <v>GOOD CONDITION</v>
          </cell>
          <cell r="H2" t="str">
            <v>1</v>
          </cell>
          <cell r="I2"/>
        </row>
        <row r="3">
          <cell r="B3" t="str">
            <v>BOO-0018</v>
          </cell>
          <cell r="C3" t="str">
            <v>HURRICANE BOOSTER, ATLAS COPCO MODEL B7-41/1000 (USED)</v>
          </cell>
          <cell r="D3" t="str">
            <v>03. BOOSTER</v>
          </cell>
          <cell r="E3" t="str">
            <v>GUNIEA</v>
          </cell>
          <cell r="F3" t="str">
            <v>GUNIEA-PDI</v>
          </cell>
          <cell r="G3" t="str">
            <v>GOOD CONDITION</v>
          </cell>
          <cell r="H3" t="str">
            <v>1</v>
          </cell>
          <cell r="I3"/>
        </row>
        <row r="4">
          <cell r="B4" t="str">
            <v>BOO-0006</v>
          </cell>
          <cell r="C4" t="str">
            <v>HURRICANE M41</v>
          </cell>
          <cell r="D4" t="str">
            <v>03. BOOSTER</v>
          </cell>
          <cell r="E4" t="str">
            <v>MALI</v>
          </cell>
          <cell r="F4" t="str">
            <v>BAMAKO</v>
          </cell>
          <cell r="G4" t="str">
            <v>BAD CONDITION</v>
          </cell>
          <cell r="H4" t="str">
            <v>0</v>
          </cell>
          <cell r="I4"/>
        </row>
        <row r="5">
          <cell r="B5" t="str">
            <v>BOO-0014</v>
          </cell>
          <cell r="C5" t="str">
            <v>AIR RESEARCH 1809-128</v>
          </cell>
          <cell r="D5" t="str">
            <v>03. BOOSTER</v>
          </cell>
          <cell r="E5" t="str">
            <v>MALI</v>
          </cell>
          <cell r="F5" t="str">
            <v>BAMAKO</v>
          </cell>
          <cell r="G5" t="str">
            <v>GOOD CONDITION</v>
          </cell>
          <cell r="H5" t="str">
            <v>1</v>
          </cell>
          <cell r="I5"/>
        </row>
        <row r="6">
          <cell r="B6" t="str">
            <v>BOO-0017</v>
          </cell>
          <cell r="C6" t="str">
            <v>BOOSTER - SCREW TYPE FOR RIG 35 SUPPORT</v>
          </cell>
          <cell r="D6" t="str">
            <v>03. BOOSTER</v>
          </cell>
          <cell r="E6" t="str">
            <v>MALI</v>
          </cell>
          <cell r="F6" t="str">
            <v>BAMAKO</v>
          </cell>
          <cell r="G6" t="str">
            <v>GOOD CONDITION</v>
          </cell>
          <cell r="H6" t="str">
            <v>1</v>
          </cell>
          <cell r="I6"/>
        </row>
        <row r="7">
          <cell r="B7" t="str">
            <v>BOO-0021</v>
          </cell>
          <cell r="C7" t="str">
            <v>ATLAS COPCO B7 41/1000 COMPACT BOOSTER</v>
          </cell>
          <cell r="D7" t="str">
            <v>03. BOOSTER</v>
          </cell>
          <cell r="E7" t="str">
            <v>MALI</v>
          </cell>
          <cell r="F7" t="str">
            <v>BAMAKO</v>
          </cell>
          <cell r="G7" t="str">
            <v>ON PO MOVING</v>
          </cell>
          <cell r="H7" t="str">
            <v>0</v>
          </cell>
          <cell r="I7"/>
        </row>
        <row r="8">
          <cell r="B8" t="str">
            <v>BOO-0022</v>
          </cell>
          <cell r="C8" t="str">
            <v>ATLAS COPCO B7 41/1000 COMPACT BOOSTER</v>
          </cell>
          <cell r="D8" t="str">
            <v>03. BOOSTER</v>
          </cell>
          <cell r="E8" t="str">
            <v>MALI</v>
          </cell>
          <cell r="F8" t="str">
            <v>BAMAKO</v>
          </cell>
          <cell r="G8" t="str">
            <v>ON PO MOVING</v>
          </cell>
          <cell r="H8" t="str">
            <v>0</v>
          </cell>
          <cell r="I8"/>
        </row>
        <row r="9">
          <cell r="B9" t="str">
            <v>BOO-0023</v>
          </cell>
          <cell r="C9" t="str">
            <v>ATLAS COPCO B7 41/1000 COMPACT BOOSTER</v>
          </cell>
          <cell r="D9" t="str">
            <v>03. BOOSTER</v>
          </cell>
          <cell r="E9" t="str">
            <v>MALI</v>
          </cell>
          <cell r="F9" t="str">
            <v>BAMAKO</v>
          </cell>
          <cell r="G9" t="str">
            <v>ON PO MOVING</v>
          </cell>
          <cell r="H9" t="str">
            <v>0</v>
          </cell>
          <cell r="I9"/>
        </row>
        <row r="10">
          <cell r="B10" t="str">
            <v>BOO-0024</v>
          </cell>
          <cell r="C10" t="str">
            <v>ATLAS COPCO B7 41/1000 COMPACT BOOSTER</v>
          </cell>
          <cell r="D10" t="str">
            <v>03. BOOSTER</v>
          </cell>
          <cell r="E10" t="str">
            <v>MALI</v>
          </cell>
          <cell r="F10" t="str">
            <v>BAMAKO</v>
          </cell>
          <cell r="G10" t="str">
            <v>ON PO MOVING</v>
          </cell>
          <cell r="H10" t="str">
            <v>0</v>
          </cell>
          <cell r="I10"/>
        </row>
        <row r="11">
          <cell r="B11" t="str">
            <v>BOO-0013</v>
          </cell>
          <cell r="C11" t="str">
            <v>ATLAS COPCO BOOSTER B7-41/1000</v>
          </cell>
          <cell r="D11" t="str">
            <v>03. BOOSTER</v>
          </cell>
          <cell r="E11" t="str">
            <v>MALI</v>
          </cell>
          <cell r="F11" t="str">
            <v>FIREFINCH</v>
          </cell>
          <cell r="G11" t="str">
            <v>GOOD CONDITION</v>
          </cell>
          <cell r="H11" t="str">
            <v>1</v>
          </cell>
          <cell r="I11"/>
        </row>
        <row r="12">
          <cell r="B12" t="str">
            <v>BOO-0020</v>
          </cell>
          <cell r="C12" t="str">
            <v>BOOSTER - B7/41 TYPE FOR RIG-0058 SUPPORT</v>
          </cell>
          <cell r="D12" t="str">
            <v>03. BOOSTER</v>
          </cell>
          <cell r="E12" t="str">
            <v>MALI</v>
          </cell>
          <cell r="F12" t="str">
            <v>FIREFINCH</v>
          </cell>
          <cell r="G12" t="str">
            <v>GOOD CONDITION</v>
          </cell>
          <cell r="H12" t="str">
            <v>1</v>
          </cell>
          <cell r="I12"/>
        </row>
        <row r="13">
          <cell r="B13" t="str">
            <v>BOO-0015</v>
          </cell>
          <cell r="C13" t="str">
            <v>M41 BOOSTER</v>
          </cell>
          <cell r="D13" t="str">
            <v>03. BOOSTER</v>
          </cell>
          <cell r="E13" t="str">
            <v>MALI</v>
          </cell>
          <cell r="F13" t="str">
            <v>SYAMA</v>
          </cell>
          <cell r="G13" t="str">
            <v>GOOD CONDITION</v>
          </cell>
          <cell r="H13" t="str">
            <v>1</v>
          </cell>
          <cell r="I13"/>
        </row>
        <row r="14">
          <cell r="B14" t="str">
            <v>BOO-0016</v>
          </cell>
          <cell r="C14" t="str">
            <v>BOOSTER, ROTARTY SCREW, RS1000</v>
          </cell>
          <cell r="D14" t="str">
            <v>03. BOOSTER</v>
          </cell>
          <cell r="E14" t="str">
            <v>MALI</v>
          </cell>
          <cell r="F14" t="str">
            <v>SYAMA</v>
          </cell>
          <cell r="G14" t="str">
            <v>GOOD CONDITION</v>
          </cell>
          <cell r="H14" t="str">
            <v>1</v>
          </cell>
          <cell r="I14"/>
        </row>
        <row r="15">
          <cell r="B15" t="str">
            <v>COM-0015</v>
          </cell>
          <cell r="C15" t="str">
            <v>INGERSOLL RAND XHP 900</v>
          </cell>
          <cell r="D15" t="str">
            <v>02. COMPRESSOR</v>
          </cell>
          <cell r="E15" t="str">
            <v>BURKINA FASO</v>
          </cell>
          <cell r="F15" t="str">
            <v>ARROW</v>
          </cell>
          <cell r="G15" t="str">
            <v>GOOD CONDITION</v>
          </cell>
          <cell r="H15" t="str">
            <v>1</v>
          </cell>
          <cell r="I15"/>
        </row>
        <row r="16">
          <cell r="B16" t="str">
            <v>COM-0057</v>
          </cell>
          <cell r="C16" t="str">
            <v>SULLAIR COMPRESSOR</v>
          </cell>
          <cell r="D16" t="str">
            <v>02. COMPRESSOR</v>
          </cell>
          <cell r="E16" t="str">
            <v>GUNIEA</v>
          </cell>
          <cell r="F16" t="str">
            <v>GUNIEA-PDI</v>
          </cell>
          <cell r="G16" t="str">
            <v>GOOD CONDITION</v>
          </cell>
          <cell r="H16" t="str">
            <v>1</v>
          </cell>
          <cell r="I16"/>
        </row>
        <row r="17">
          <cell r="B17" t="str">
            <v>COM-0064</v>
          </cell>
          <cell r="C17" t="str">
            <v>SULLAIR COMPRESSOR / 1300XHH-1525XHDLOF-CAT/T2</v>
          </cell>
          <cell r="D17" t="str">
            <v>02. COMPRESSOR</v>
          </cell>
          <cell r="E17" t="str">
            <v>GUNIEA</v>
          </cell>
          <cell r="F17" t="str">
            <v>GUNIEA-PDI</v>
          </cell>
          <cell r="G17" t="str">
            <v>TRANSFER</v>
          </cell>
          <cell r="H17" t="str">
            <v>0</v>
          </cell>
          <cell r="I17"/>
        </row>
        <row r="18">
          <cell r="B18" t="str">
            <v>COM-0066</v>
          </cell>
          <cell r="C18" t="str">
            <v>SULLAIR , COMPRESSOR 1300XHH-1525XHDLOF-CAT/T2</v>
          </cell>
          <cell r="D18" t="str">
            <v>02. COMPRESSOR</v>
          </cell>
          <cell r="E18" t="str">
            <v>MALI</v>
          </cell>
          <cell r="F18" t="str">
            <v>BAMAKO</v>
          </cell>
          <cell r="G18" t="str">
            <v>ON PO</v>
          </cell>
          <cell r="H18" t="str">
            <v>0</v>
          </cell>
          <cell r="I18"/>
        </row>
        <row r="19">
          <cell r="B19" t="str">
            <v>COM-0067</v>
          </cell>
          <cell r="C19" t="str">
            <v>SULLAIR , COMPRESSOR 1300XHH-1525XHDLOF-CAT/T2</v>
          </cell>
          <cell r="D19" t="str">
            <v>02. COMPRESSOR</v>
          </cell>
          <cell r="E19" t="str">
            <v>MALI</v>
          </cell>
          <cell r="F19" t="str">
            <v>BAMAKO</v>
          </cell>
          <cell r="G19" t="str">
            <v>ON PO</v>
          </cell>
          <cell r="H19" t="str">
            <v>0</v>
          </cell>
          <cell r="I19"/>
        </row>
        <row r="20">
          <cell r="B20" t="str">
            <v>COM-0068</v>
          </cell>
          <cell r="C20" t="str">
            <v>SULLAIR , COMPRESSOR 1300XHH-1525XHDLOF-CAT/T2</v>
          </cell>
          <cell r="D20" t="str">
            <v>02. COMPRESSOR</v>
          </cell>
          <cell r="E20" t="str">
            <v>MALI</v>
          </cell>
          <cell r="F20" t="str">
            <v>BAMAKO</v>
          </cell>
          <cell r="G20" t="str">
            <v>ON PO</v>
          </cell>
          <cell r="H20" t="str">
            <v>0</v>
          </cell>
          <cell r="I20"/>
        </row>
        <row r="21">
          <cell r="B21" t="str">
            <v>COM-0069</v>
          </cell>
          <cell r="C21" t="str">
            <v>SULLAIR , COMPRESSOR 1300XHH-1525XHDLOF-CAT/T2</v>
          </cell>
          <cell r="D21" t="str">
            <v>02. COMPRESSOR</v>
          </cell>
          <cell r="E21" t="str">
            <v>MALI</v>
          </cell>
          <cell r="F21" t="str">
            <v>BAMAKO</v>
          </cell>
          <cell r="G21" t="str">
            <v>ON PO</v>
          </cell>
          <cell r="H21" t="str">
            <v>0</v>
          </cell>
          <cell r="I21"/>
        </row>
        <row r="22">
          <cell r="B22" t="str">
            <v>COM-0070</v>
          </cell>
          <cell r="C22" t="str">
            <v>SULLAIR , COMPRESSOR 1300XHH-1525XHDLOF-CAT/T2</v>
          </cell>
          <cell r="D22" t="str">
            <v>02. COMPRESSOR</v>
          </cell>
          <cell r="E22" t="str">
            <v>MALI</v>
          </cell>
          <cell r="F22" t="str">
            <v>BAMAKO</v>
          </cell>
          <cell r="G22" t="str">
            <v>ON PO</v>
          </cell>
          <cell r="H22" t="str">
            <v>0</v>
          </cell>
          <cell r="I22"/>
        </row>
        <row r="23">
          <cell r="B23" t="str">
            <v>COM-0071</v>
          </cell>
          <cell r="C23" t="str">
            <v>SULLAIR , COMPRESSOR 1300XHH-1525XHDLOF-CAT/T2</v>
          </cell>
          <cell r="D23" t="str">
            <v>02. COMPRESSOR</v>
          </cell>
          <cell r="E23" t="str">
            <v>MALI</v>
          </cell>
          <cell r="F23" t="str">
            <v>BAMAKO</v>
          </cell>
          <cell r="G23" t="str">
            <v>ON PO</v>
          </cell>
          <cell r="H23" t="str">
            <v>0</v>
          </cell>
          <cell r="I23"/>
        </row>
        <row r="24">
          <cell r="B24" t="str">
            <v>COM-0072</v>
          </cell>
          <cell r="C24" t="str">
            <v>SULLAIR , COMPRESSOR 1300XHH-1525XHDLOF-CAT/T2</v>
          </cell>
          <cell r="D24" t="str">
            <v>02. COMPRESSOR</v>
          </cell>
          <cell r="E24" t="str">
            <v>MALI</v>
          </cell>
          <cell r="F24" t="str">
            <v>BAMAKO</v>
          </cell>
          <cell r="G24" t="str">
            <v>ON PO</v>
          </cell>
          <cell r="H24" t="str">
            <v>0</v>
          </cell>
          <cell r="I24"/>
        </row>
        <row r="25">
          <cell r="B25" t="str">
            <v>COM-0073</v>
          </cell>
          <cell r="C25" t="str">
            <v>SULLAIR , COMPRESSOR 1300XHH-1525XHDLOF-CAT/T2</v>
          </cell>
          <cell r="D25" t="str">
            <v>02. COMPRESSOR</v>
          </cell>
          <cell r="E25" t="str">
            <v>MALI</v>
          </cell>
          <cell r="F25" t="str">
            <v>BAMAKO</v>
          </cell>
          <cell r="G25" t="str">
            <v>ON PO</v>
          </cell>
          <cell r="H25" t="str">
            <v>0</v>
          </cell>
          <cell r="I25"/>
        </row>
        <row r="26">
          <cell r="B26" t="str">
            <v>COM-0074</v>
          </cell>
          <cell r="C26" t="str">
            <v>SULLAIR , COMPRESSOR 1300XHH-1525XHDLOF-CAT/T2</v>
          </cell>
          <cell r="D26" t="str">
            <v>02. COMPRESSOR</v>
          </cell>
          <cell r="E26" t="str">
            <v>MALI</v>
          </cell>
          <cell r="F26" t="str">
            <v>BAMAKO</v>
          </cell>
          <cell r="G26" t="str">
            <v>ON PO</v>
          </cell>
          <cell r="H26" t="str">
            <v>0</v>
          </cell>
          <cell r="I26"/>
        </row>
        <row r="27">
          <cell r="B27" t="str">
            <v>COM-0075</v>
          </cell>
          <cell r="C27" t="str">
            <v>SULLAIR , COMPRESSOR 1300XHH-1525XHDLOF-CAT/T2</v>
          </cell>
          <cell r="D27" t="str">
            <v>02. COMPRESSOR</v>
          </cell>
          <cell r="E27" t="str">
            <v>MALI</v>
          </cell>
          <cell r="F27" t="str">
            <v>BAMAKO</v>
          </cell>
          <cell r="G27" t="str">
            <v>ON PO</v>
          </cell>
          <cell r="H27" t="str">
            <v>0</v>
          </cell>
          <cell r="I27"/>
        </row>
        <row r="28">
          <cell r="B28" t="str">
            <v>COM-0054</v>
          </cell>
          <cell r="C28" t="str">
            <v>SULLAIR 1525/1300CFM 350/500PSI COMP</v>
          </cell>
          <cell r="D28" t="str">
            <v>02. COMPRESSOR</v>
          </cell>
          <cell r="E28" t="str">
            <v>MALI</v>
          </cell>
          <cell r="F28" t="str">
            <v>FIREFINCH</v>
          </cell>
          <cell r="G28" t="str">
            <v>GOOD CONDITION</v>
          </cell>
          <cell r="H28" t="str">
            <v>1</v>
          </cell>
          <cell r="I28"/>
        </row>
        <row r="29">
          <cell r="B29" t="str">
            <v>COM-0058</v>
          </cell>
          <cell r="C29" t="str">
            <v>ASSET-SULLAIR COMPRESSOR OPEN FRAME 1300-1525XH/A/DLOF/</v>
          </cell>
          <cell r="D29" t="str">
            <v>02. COMPRESSOR</v>
          </cell>
          <cell r="E29" t="str">
            <v>MALI</v>
          </cell>
          <cell r="F29" t="str">
            <v>FIREFINCH</v>
          </cell>
          <cell r="G29" t="str">
            <v>GOOD CONDITION</v>
          </cell>
          <cell r="H29" t="str">
            <v>1</v>
          </cell>
          <cell r="I29"/>
        </row>
        <row r="30">
          <cell r="B30" t="str">
            <v>COM-0063</v>
          </cell>
          <cell r="C30" t="str">
            <v>SULLAIR COMPRESSOR / 1300XHH-1525XHDLOF-CAT/T2</v>
          </cell>
          <cell r="D30" t="str">
            <v>02. COMPRESSOR</v>
          </cell>
          <cell r="E30" t="str">
            <v>MALI</v>
          </cell>
          <cell r="F30" t="str">
            <v>FIREFINCH</v>
          </cell>
          <cell r="G30" t="str">
            <v>GOOD CONDITION</v>
          </cell>
          <cell r="H30" t="str">
            <v>1</v>
          </cell>
          <cell r="I30"/>
        </row>
        <row r="31">
          <cell r="B31" t="str">
            <v>COM-0065</v>
          </cell>
          <cell r="C31" t="str">
            <v>1300 XHH SULLAIR COMPRESSOR</v>
          </cell>
          <cell r="D31" t="str">
            <v>02. COMPRESSOR</v>
          </cell>
          <cell r="E31" t="str">
            <v>MALI</v>
          </cell>
          <cell r="F31" t="str">
            <v>FIREFINCH</v>
          </cell>
          <cell r="G31" t="str">
            <v>GOOD CONDITION</v>
          </cell>
          <cell r="H31" t="str">
            <v>1</v>
          </cell>
          <cell r="I31"/>
        </row>
        <row r="32">
          <cell r="B32" t="str">
            <v>COM-0017</v>
          </cell>
          <cell r="C32" t="str">
            <v>XHP 1070WCAT PORTABLE AIR COMPRESSOR</v>
          </cell>
          <cell r="D32" t="str">
            <v>02. COMPRESSOR</v>
          </cell>
          <cell r="E32" t="str">
            <v>MALI</v>
          </cell>
          <cell r="F32" t="str">
            <v>MALI-HUMMINGBIRD</v>
          </cell>
          <cell r="G32" t="str">
            <v>GOOD CONDITION</v>
          </cell>
          <cell r="H32" t="str">
            <v>1</v>
          </cell>
          <cell r="I32"/>
        </row>
        <row r="33">
          <cell r="B33" t="str">
            <v>COM-0043</v>
          </cell>
          <cell r="C33" t="str">
            <v>IR XX HP COMPRESSOR 1270CFM/500PS</v>
          </cell>
          <cell r="D33" t="str">
            <v>02. COMPRESSOR</v>
          </cell>
          <cell r="E33" t="str">
            <v>MALI</v>
          </cell>
          <cell r="F33" t="str">
            <v>MALI-HUMMINGBIRD</v>
          </cell>
          <cell r="G33" t="str">
            <v>GOOD CONDITION</v>
          </cell>
          <cell r="H33" t="str">
            <v>1</v>
          </cell>
          <cell r="I33"/>
        </row>
        <row r="34">
          <cell r="B34" t="str">
            <v>COM-0023</v>
          </cell>
          <cell r="C34" t="str">
            <v>INGERSOLL RAND XHP1070</v>
          </cell>
          <cell r="D34" t="str">
            <v>02. COMPRESSOR</v>
          </cell>
          <cell r="E34" t="str">
            <v>MALI</v>
          </cell>
          <cell r="F34" t="str">
            <v>SYAMA</v>
          </cell>
          <cell r="G34" t="str">
            <v>GOOD CONDITION</v>
          </cell>
          <cell r="H34" t="str">
            <v>1</v>
          </cell>
          <cell r="I34"/>
        </row>
        <row r="35">
          <cell r="B35" t="str">
            <v>RIG-0024</v>
          </cell>
          <cell r="C35" t="str">
            <v>CD250 TRUCK MOUNTED</v>
          </cell>
          <cell r="D35" t="str">
            <v>01. DRILL RIG</v>
          </cell>
          <cell r="E35" t="str">
            <v>BURKINA FASO</v>
          </cell>
          <cell r="F35" t="str">
            <v>ARROW</v>
          </cell>
          <cell r="G35" t="str">
            <v>GOOD CONDITION</v>
          </cell>
          <cell r="H35" t="str">
            <v>1</v>
          </cell>
          <cell r="I35"/>
        </row>
        <row r="36">
          <cell r="B36" t="str">
            <v>RIG-0085</v>
          </cell>
          <cell r="C36" t="str">
            <v>SANDVIK 710 CT DIAMOND RIG</v>
          </cell>
          <cell r="D36" t="str">
            <v>01. DRILL RIG</v>
          </cell>
          <cell r="E36" t="str">
            <v>CAMEROON</v>
          </cell>
          <cell r="F36" t="str">
            <v>BIBEMI</v>
          </cell>
          <cell r="G36" t="str">
            <v>TRANSFER</v>
          </cell>
          <cell r="H36" t="str">
            <v>0</v>
          </cell>
          <cell r="I36"/>
        </row>
        <row r="37">
          <cell r="B37" t="str">
            <v>RIG-0083</v>
          </cell>
          <cell r="C37" t="str">
            <v>EDM 2000 MULTI PURPOSE TRUCK MOUNTED</v>
          </cell>
          <cell r="D37" t="str">
            <v>01. DRILL RIG</v>
          </cell>
          <cell r="E37" t="str">
            <v>GUNIEA</v>
          </cell>
          <cell r="F37" t="str">
            <v>GUNIEA-PDI</v>
          </cell>
          <cell r="G37" t="str">
            <v>GOOD CONDITION</v>
          </cell>
          <cell r="H37" t="str">
            <v>1</v>
          </cell>
          <cell r="I37"/>
        </row>
        <row r="38">
          <cell r="B38" t="str">
            <v>RIG-0248</v>
          </cell>
          <cell r="C38" t="str">
            <v>CD800 MP - AIR CORE / DD</v>
          </cell>
          <cell r="D38" t="str">
            <v>01. DRILL RIG</v>
          </cell>
          <cell r="E38" t="str">
            <v>GUNIEA</v>
          </cell>
          <cell r="F38" t="str">
            <v>KAROUSSA</v>
          </cell>
          <cell r="G38" t="str">
            <v>GOOD CONDITION</v>
          </cell>
          <cell r="H38" t="str">
            <v>1</v>
          </cell>
          <cell r="I38"/>
        </row>
        <row r="39">
          <cell r="B39" t="str">
            <v>RIG-0079</v>
          </cell>
          <cell r="C39" t="str">
            <v>EDM 2000 DIAMOND DRILL RIG TRUCK MOUNTED</v>
          </cell>
          <cell r="D39" t="str">
            <v>01. DRILL RIG</v>
          </cell>
          <cell r="E39" t="str">
            <v>MALI</v>
          </cell>
          <cell r="F39" t="str">
            <v>ALTUS</v>
          </cell>
          <cell r="G39" t="str">
            <v>GOOD CONDITION</v>
          </cell>
          <cell r="H39" t="str">
            <v>1</v>
          </cell>
          <cell r="I39"/>
        </row>
        <row r="40">
          <cell r="B40" t="str">
            <v>RIG-0144</v>
          </cell>
          <cell r="C40" t="str">
            <v xml:space="preserve">COMACCHIO DRILL RIG CXT15 </v>
          </cell>
          <cell r="D40" t="str">
            <v>01. DRILL RIG</v>
          </cell>
          <cell r="E40" t="str">
            <v>MALI</v>
          </cell>
          <cell r="F40" t="str">
            <v>BAMAKO</v>
          </cell>
          <cell r="G40" t="str">
            <v>ON PO</v>
          </cell>
          <cell r="H40" t="str">
            <v>0</v>
          </cell>
          <cell r="I40"/>
        </row>
        <row r="41">
          <cell r="B41" t="str">
            <v>RIG-0145</v>
          </cell>
          <cell r="C41" t="str">
            <v xml:space="preserve">COMACCHIO DRILL RIG CXT15 </v>
          </cell>
          <cell r="D41" t="str">
            <v>01. DRILL RIG</v>
          </cell>
          <cell r="E41" t="str">
            <v>MALI</v>
          </cell>
          <cell r="F41" t="str">
            <v>BAMAKO</v>
          </cell>
          <cell r="G41" t="str">
            <v>ON PO</v>
          </cell>
          <cell r="H41" t="str">
            <v>0</v>
          </cell>
          <cell r="I41"/>
        </row>
        <row r="42">
          <cell r="B42" t="str">
            <v>RIG-0146</v>
          </cell>
          <cell r="C42" t="str">
            <v>SCHRAMM 685 - EX AMS SECOND HAND DR760</v>
          </cell>
          <cell r="D42" t="str">
            <v>01. DRILL RIG</v>
          </cell>
          <cell r="E42" t="str">
            <v>MALI</v>
          </cell>
          <cell r="F42" t="str">
            <v>BAMAKO</v>
          </cell>
          <cell r="G42" t="str">
            <v>ON PO MOVING</v>
          </cell>
          <cell r="H42" t="str">
            <v>0</v>
          </cell>
          <cell r="I42"/>
        </row>
        <row r="43">
          <cell r="B43" t="str">
            <v>RIG-0147</v>
          </cell>
          <cell r="C43" t="str">
            <v>SCHRAMM 685 - EX AMS SECOND HAND DR783</v>
          </cell>
          <cell r="D43" t="str">
            <v>01. DRILL RIG</v>
          </cell>
          <cell r="E43" t="str">
            <v>MALI</v>
          </cell>
          <cell r="F43" t="str">
            <v>BAMAKO</v>
          </cell>
          <cell r="G43" t="str">
            <v>ON PO</v>
          </cell>
          <cell r="H43" t="str">
            <v>0</v>
          </cell>
          <cell r="I43"/>
        </row>
        <row r="44">
          <cell r="B44" t="str">
            <v>RIG-0249</v>
          </cell>
          <cell r="C44" t="str">
            <v>CD800 AIR CORE</v>
          </cell>
          <cell r="D44" t="str">
            <v>01. DRILL RIG</v>
          </cell>
          <cell r="E44" t="str">
            <v>MALI</v>
          </cell>
          <cell r="F44" t="str">
            <v>BAMAKO</v>
          </cell>
          <cell r="G44" t="str">
            <v>GOOD CONDITION</v>
          </cell>
          <cell r="H44" t="str">
            <v>1</v>
          </cell>
          <cell r="I44"/>
        </row>
        <row r="45">
          <cell r="B45" t="str">
            <v>RIG-0066</v>
          </cell>
          <cell r="C45" t="str">
            <v>CD800 MP - AIR CORE / DD</v>
          </cell>
          <cell r="D45" t="str">
            <v>01. DRILL RIG</v>
          </cell>
          <cell r="E45" t="str">
            <v>MALI</v>
          </cell>
          <cell r="F45" t="str">
            <v>FIREFINCH</v>
          </cell>
          <cell r="G45" t="str">
            <v>GOOD CONDITION</v>
          </cell>
          <cell r="H45" t="str">
            <v>1</v>
          </cell>
          <cell r="I45"/>
        </row>
        <row r="46">
          <cell r="B46" t="str">
            <v>RIG-0069</v>
          </cell>
          <cell r="C46" t="str">
            <v>SANDVIK DE 710 (UDR 200 DIAMOND RIG)</v>
          </cell>
          <cell r="D46" t="str">
            <v>01. DRILL RIG</v>
          </cell>
          <cell r="E46" t="str">
            <v>MALI</v>
          </cell>
          <cell r="F46" t="str">
            <v>FIREFINCH</v>
          </cell>
          <cell r="G46" t="str">
            <v>GOOD CONDITION</v>
          </cell>
          <cell r="H46" t="str">
            <v>1</v>
          </cell>
          <cell r="I46"/>
        </row>
        <row r="47">
          <cell r="B47" t="str">
            <v>RIG-0073</v>
          </cell>
          <cell r="C47" t="str">
            <v>EDM 2000 TRACK MOUNTED</v>
          </cell>
          <cell r="D47" t="str">
            <v>01. DRILL RIG</v>
          </cell>
          <cell r="E47" t="str">
            <v>MALI</v>
          </cell>
          <cell r="F47" t="str">
            <v>FIREFINCH</v>
          </cell>
          <cell r="G47" t="str">
            <v>GOOD CONDITION</v>
          </cell>
          <cell r="H47" t="str">
            <v>1</v>
          </cell>
          <cell r="I47"/>
        </row>
        <row r="48">
          <cell r="B48" t="str">
            <v>RIG-0084</v>
          </cell>
          <cell r="C48" t="str">
            <v>SANDVIK 710 CT DIAMOND RIG</v>
          </cell>
          <cell r="D48" t="str">
            <v>01. DRILL RIG</v>
          </cell>
          <cell r="E48" t="str">
            <v>MALI</v>
          </cell>
          <cell r="F48" t="str">
            <v>FIREFINCH</v>
          </cell>
          <cell r="G48" t="str">
            <v>GOOD CONDITION</v>
          </cell>
          <cell r="H48" t="str">
            <v>1</v>
          </cell>
          <cell r="I48"/>
        </row>
        <row r="49">
          <cell r="B49" t="str">
            <v>RIG-0097</v>
          </cell>
          <cell r="C49" t="str">
            <v>EDM 1200 TRACK MOUNTED</v>
          </cell>
          <cell r="D49" t="str">
            <v>01. DRILL RIG</v>
          </cell>
          <cell r="E49" t="str">
            <v>MALI</v>
          </cell>
          <cell r="F49" t="str">
            <v>FIREFINCH</v>
          </cell>
          <cell r="G49" t="str">
            <v>GOOD CONDITION</v>
          </cell>
          <cell r="H49" t="str">
            <v>1</v>
          </cell>
          <cell r="I49"/>
        </row>
        <row r="50">
          <cell r="B50" t="str">
            <v>RIG-0099</v>
          </cell>
          <cell r="C50" t="str">
            <v>EDM 2000 MULTIPURPOSE TRUCK MOUNTED</v>
          </cell>
          <cell r="D50" t="str">
            <v>01. DRILL RIG</v>
          </cell>
          <cell r="E50" t="str">
            <v>MALI</v>
          </cell>
          <cell r="F50" t="str">
            <v>FIREFINCH</v>
          </cell>
          <cell r="G50" t="str">
            <v>GOOD CONDITION</v>
          </cell>
          <cell r="H50" t="str">
            <v>1</v>
          </cell>
          <cell r="I50"/>
        </row>
        <row r="51">
          <cell r="B51" t="str">
            <v>RIG-0027</v>
          </cell>
          <cell r="C51" t="str">
            <v>THORDRILL THOR5000  TRUCK MOUNTED</v>
          </cell>
          <cell r="D51" t="str">
            <v>01. DRILL RIG</v>
          </cell>
          <cell r="E51" t="str">
            <v>MALI</v>
          </cell>
          <cell r="F51" t="str">
            <v>MALI-HUMMINGBIRD</v>
          </cell>
          <cell r="G51" t="str">
            <v>GOOD CONDITION</v>
          </cell>
          <cell r="H51" t="str">
            <v>1</v>
          </cell>
          <cell r="I51"/>
        </row>
        <row r="52">
          <cell r="B52" t="str">
            <v>RIG-0068</v>
          </cell>
          <cell r="C52" t="str">
            <v>SANDVIK DE 710 (UDR 200 DIAMOND RIG)</v>
          </cell>
          <cell r="D52" t="str">
            <v>01. DRILL RIG</v>
          </cell>
          <cell r="E52" t="str">
            <v>MALI</v>
          </cell>
          <cell r="F52" t="str">
            <v>MALI-HUMMINGBIRD</v>
          </cell>
          <cell r="G52" t="str">
            <v>GOOD CONDITION</v>
          </cell>
          <cell r="H52" t="str">
            <v>1</v>
          </cell>
          <cell r="I52"/>
        </row>
        <row r="53">
          <cell r="B53" t="str">
            <v>RIG-0276</v>
          </cell>
          <cell r="C53" t="str">
            <v>UNICON CORTECH YDX-1800 CORE DIAMOND DRILL RIG</v>
          </cell>
          <cell r="D53" t="str">
            <v>01. DRILL RIG</v>
          </cell>
          <cell r="E53" t="str">
            <v>MALI</v>
          </cell>
          <cell r="F53" t="str">
            <v>MALI-HUMMINGBIRD</v>
          </cell>
          <cell r="G53" t="str">
            <v>GOOD CONDITION</v>
          </cell>
          <cell r="H53" t="str">
            <v>1</v>
          </cell>
          <cell r="I53"/>
        </row>
        <row r="54">
          <cell r="B54" t="str">
            <v>RIG-0035</v>
          </cell>
          <cell r="C54" t="str">
            <v>UDR 400 TRUCK MOUNTED RIG (SANDVIK)</v>
          </cell>
          <cell r="D54" t="str">
            <v>01. DRILL RIG</v>
          </cell>
          <cell r="E54" t="str">
            <v>MALI</v>
          </cell>
          <cell r="F54" t="str">
            <v>SYAMA</v>
          </cell>
          <cell r="G54" t="str">
            <v>GOOD CONDITION</v>
          </cell>
          <cell r="H54" t="str">
            <v>1</v>
          </cell>
          <cell r="I54"/>
        </row>
        <row r="55">
          <cell r="B55" t="str">
            <v>RIG-0077</v>
          </cell>
          <cell r="C55" t="str">
            <v>UNICON CORTECH YDX-1800 CORE DIAMOND DRILL RIG</v>
          </cell>
          <cell r="D55" t="str">
            <v>01. DRILL RIG</v>
          </cell>
          <cell r="E55" t="str">
            <v>MALI</v>
          </cell>
          <cell r="F55" t="str">
            <v>SYAMA</v>
          </cell>
          <cell r="G55" t="str">
            <v>GOOD CONDITION</v>
          </cell>
          <cell r="H55" t="str">
            <v>1</v>
          </cell>
          <cell r="I55"/>
        </row>
        <row r="56">
          <cell r="B56" t="str">
            <v>RIG-0128</v>
          </cell>
          <cell r="C56" t="str">
            <v>BOART LONGYEAR LM90 DRILL RIG</v>
          </cell>
          <cell r="D56" t="str">
            <v>01. DRILL RIG</v>
          </cell>
          <cell r="E56" t="str">
            <v>MALI</v>
          </cell>
          <cell r="F56" t="str">
            <v>SYAMA</v>
          </cell>
          <cell r="G56" t="str">
            <v>GOOD CONDITION</v>
          </cell>
          <cell r="H56" t="str">
            <v>1</v>
          </cell>
          <cell r="I56"/>
        </row>
        <row r="57">
          <cell r="B57" t="str">
            <v>RIG-0132</v>
          </cell>
          <cell r="C57" t="str">
            <v>EXPLORAC 235 DRILL RIG</v>
          </cell>
          <cell r="D57" t="str">
            <v>01. DRILL RIG</v>
          </cell>
          <cell r="E57" t="str">
            <v>MALI</v>
          </cell>
          <cell r="F57" t="str">
            <v>SYAMA</v>
          </cell>
          <cell r="G57" t="str">
            <v>GOOD CONDITION</v>
          </cell>
          <cell r="H57" t="str">
            <v>1</v>
          </cell>
          <cell r="I57"/>
        </row>
        <row r="58">
          <cell r="B58" t="str">
            <v>RIG-0216</v>
          </cell>
          <cell r="C58" t="str">
            <v>ATLAS COPCO CS 3001 TRUCK MOUNTED</v>
          </cell>
          <cell r="D58" t="str">
            <v>01. DRILL RIG</v>
          </cell>
          <cell r="E58" t="str">
            <v>MALI</v>
          </cell>
          <cell r="F58" t="str">
            <v>SYAMA</v>
          </cell>
          <cell r="G58" t="str">
            <v>GOOD CONDITION</v>
          </cell>
          <cell r="H58" t="str">
            <v>1</v>
          </cell>
          <cell r="I58"/>
        </row>
        <row r="59">
          <cell r="B59" t="str">
            <v>GEN-0209</v>
          </cell>
          <cell r="C59" t="str">
            <v>LIGHTING TOWER PLANT VT EVO</v>
          </cell>
          <cell r="D59" t="str">
            <v>05. GENERATOR</v>
          </cell>
          <cell r="E59" t="str">
            <v>GUNIEA</v>
          </cell>
          <cell r="F59" t="str">
            <v>GUNIEA-PDI</v>
          </cell>
          <cell r="G59" t="str">
            <v>GOOD CONDITION</v>
          </cell>
          <cell r="H59" t="str">
            <v>1</v>
          </cell>
          <cell r="I59"/>
        </row>
        <row r="60">
          <cell r="B60" t="str">
            <v>GEN-0198</v>
          </cell>
          <cell r="C60" t="str">
            <v>LIGHTING TOWER VT8 P 8M 4 X 1000MH</v>
          </cell>
          <cell r="D60" t="str">
            <v>05. GENERATOR</v>
          </cell>
          <cell r="E60" t="str">
            <v>GUNIEA</v>
          </cell>
          <cell r="F60" t="str">
            <v>KAROUSSA</v>
          </cell>
          <cell r="G60" t="str">
            <v>TRANSFER</v>
          </cell>
          <cell r="H60" t="str">
            <v>0</v>
          </cell>
          <cell r="I60"/>
        </row>
        <row r="61">
          <cell r="B61" t="str">
            <v>GEN-0140</v>
          </cell>
          <cell r="C61" t="str">
            <v>PERKINS 20KVA PRIME</v>
          </cell>
          <cell r="D61" t="str">
            <v>05. GENERATOR</v>
          </cell>
          <cell r="E61" t="str">
            <v>MALI</v>
          </cell>
          <cell r="F61" t="str">
            <v>BAMAKO</v>
          </cell>
          <cell r="G61" t="str">
            <v>GOOD CONDITION</v>
          </cell>
          <cell r="H61" t="str">
            <v>1</v>
          </cell>
          <cell r="I61"/>
        </row>
        <row r="62">
          <cell r="B62" t="str">
            <v>GEN-0182</v>
          </cell>
          <cell r="C62" t="str">
            <v>GENERATOR SET 47KVA/37KW</v>
          </cell>
          <cell r="D62" t="str">
            <v>05. GENERATOR</v>
          </cell>
          <cell r="E62" t="str">
            <v>MALI</v>
          </cell>
          <cell r="F62" t="str">
            <v>BAMAKO</v>
          </cell>
          <cell r="G62" t="str">
            <v>GOOD CONDITION</v>
          </cell>
          <cell r="H62" t="str">
            <v>1</v>
          </cell>
          <cell r="I62"/>
        </row>
        <row r="63">
          <cell r="B63" t="str">
            <v>GEN-0183</v>
          </cell>
          <cell r="C63" t="str">
            <v>GENERATOR SET 47KVA/37KW</v>
          </cell>
          <cell r="D63" t="str">
            <v>05. GENERATOR</v>
          </cell>
          <cell r="E63" t="str">
            <v>MALI</v>
          </cell>
          <cell r="F63" t="str">
            <v>BAMAKO</v>
          </cell>
          <cell r="G63" t="str">
            <v>GOOD CONDITION</v>
          </cell>
          <cell r="H63" t="str">
            <v>1</v>
          </cell>
          <cell r="I63"/>
        </row>
        <row r="64">
          <cell r="B64" t="str">
            <v>GEN-0185</v>
          </cell>
          <cell r="C64" t="str">
            <v>GENERATOR SET 47KVA/37KW</v>
          </cell>
          <cell r="D64" t="str">
            <v>05. GENERATOR</v>
          </cell>
          <cell r="E64" t="str">
            <v>MALI</v>
          </cell>
          <cell r="F64" t="str">
            <v>BAMAKO</v>
          </cell>
          <cell r="G64" t="str">
            <v>BAD CONDITION</v>
          </cell>
          <cell r="H64" t="str">
            <v>0</v>
          </cell>
          <cell r="I64"/>
        </row>
        <row r="65">
          <cell r="B65" t="str">
            <v>GEN-0231</v>
          </cell>
          <cell r="C65" t="str">
            <v>TEKSAN TJ88PE5L 80KVA POWER GENERATOR</v>
          </cell>
          <cell r="D65" t="str">
            <v>05. GENERATOR</v>
          </cell>
          <cell r="E65" t="str">
            <v>MALI</v>
          </cell>
          <cell r="F65" t="str">
            <v>BAMAKO</v>
          </cell>
          <cell r="G65" t="str">
            <v>GOOD CONDITION</v>
          </cell>
          <cell r="H65" t="str">
            <v>1</v>
          </cell>
          <cell r="I65"/>
        </row>
        <row r="66">
          <cell r="B66" t="str">
            <v>GEN-0199</v>
          </cell>
          <cell r="C66" t="str">
            <v>LIGHTING TOWER VT8 P 8M 4 X 1000MH</v>
          </cell>
          <cell r="D66" t="str">
            <v>05. GENERATOR</v>
          </cell>
          <cell r="E66" t="str">
            <v>MALI</v>
          </cell>
          <cell r="F66" t="str">
            <v>FIREFINCH</v>
          </cell>
          <cell r="G66" t="str">
            <v>GOOD CONDITION</v>
          </cell>
          <cell r="H66" t="str">
            <v>1</v>
          </cell>
          <cell r="I66"/>
        </row>
        <row r="67">
          <cell r="B67" t="str">
            <v>GEN-0208</v>
          </cell>
          <cell r="C67" t="str">
            <v>LIGHTING TOWER PLANT VT EVO</v>
          </cell>
          <cell r="D67" t="str">
            <v>05. GENERATOR</v>
          </cell>
          <cell r="E67" t="str">
            <v>MALI</v>
          </cell>
          <cell r="F67" t="str">
            <v>FIREFINCH</v>
          </cell>
          <cell r="G67" t="str">
            <v>GOOD CONDITION</v>
          </cell>
          <cell r="H67" t="str">
            <v>1</v>
          </cell>
          <cell r="I67"/>
        </row>
        <row r="68">
          <cell r="B68" t="str">
            <v>GEN-0184</v>
          </cell>
          <cell r="C68" t="str">
            <v>GENERATOR SET 47KVA/37KW</v>
          </cell>
          <cell r="D68" t="str">
            <v>05. GENERATOR</v>
          </cell>
          <cell r="E68" t="str">
            <v>MALI</v>
          </cell>
          <cell r="F68" t="str">
            <v>MALI-HUMMINGBIRD</v>
          </cell>
          <cell r="G68" t="str">
            <v>GOOD CONDITION</v>
          </cell>
          <cell r="H68" t="str">
            <v>1</v>
          </cell>
          <cell r="I68"/>
        </row>
        <row r="69">
          <cell r="B69" t="str">
            <v>GEN-0142</v>
          </cell>
          <cell r="C69" t="str">
            <v>PERKINS 20KVA PRIME</v>
          </cell>
          <cell r="D69" t="str">
            <v>05. GENERATOR</v>
          </cell>
          <cell r="E69" t="str">
            <v>MALI</v>
          </cell>
          <cell r="F69" t="str">
            <v>MARVEL</v>
          </cell>
          <cell r="G69" t="str">
            <v>GOOD CONDITION</v>
          </cell>
          <cell r="H69" t="str">
            <v>1</v>
          </cell>
          <cell r="I69"/>
        </row>
        <row r="70">
          <cell r="B70" t="str">
            <v>GEN-0207</v>
          </cell>
          <cell r="C70" t="str">
            <v>LIGHTING TOWER PLANT VT4 8MM 4X1000MH SERIAL 1200</v>
          </cell>
          <cell r="D70" t="str">
            <v>05. GENERATOR</v>
          </cell>
          <cell r="E70" t="str">
            <v>MALI</v>
          </cell>
          <cell r="F70" t="str">
            <v>SYAMA</v>
          </cell>
          <cell r="G70" t="str">
            <v>GOOD CONDITION</v>
          </cell>
          <cell r="H70" t="str">
            <v>1</v>
          </cell>
          <cell r="I70"/>
        </row>
        <row r="71">
          <cell r="B71" t="str">
            <v>LIV-0260</v>
          </cell>
          <cell r="C71" t="str">
            <v>TOYOTA HILUX COMFORT</v>
          </cell>
          <cell r="D71" t="str">
            <v>06. LIGHT VEHICLE</v>
          </cell>
          <cell r="E71" t="str">
            <v>BURKINA FASO</v>
          </cell>
          <cell r="F71" t="str">
            <v>ARROW</v>
          </cell>
          <cell r="G71" t="str">
            <v>GOOD CONDITION</v>
          </cell>
          <cell r="H71" t="str">
            <v>1</v>
          </cell>
          <cell r="I71"/>
        </row>
        <row r="72">
          <cell r="B72" t="str">
            <v>LIV-0276</v>
          </cell>
          <cell r="C72" t="str">
            <v>TOYOTA LANDCRUISER SINGLE CAB. 180L 6-CYL - 4200C</v>
          </cell>
          <cell r="D72" t="str">
            <v>06. LIGHT VEHICLE</v>
          </cell>
          <cell r="E72" t="str">
            <v>BURKINA FASO</v>
          </cell>
          <cell r="F72" t="str">
            <v>ARROW</v>
          </cell>
          <cell r="G72" t="str">
            <v>GOOD CONDITION</v>
          </cell>
          <cell r="H72" t="str">
            <v>1</v>
          </cell>
          <cell r="I72"/>
        </row>
        <row r="73">
          <cell r="B73" t="str">
            <v>LIV-0312</v>
          </cell>
          <cell r="C73" t="str">
            <v>DUAL CAB TOYOTA CHASSIS</v>
          </cell>
          <cell r="D73" t="str">
            <v>06. LIGHT VEHICLE</v>
          </cell>
          <cell r="E73" t="str">
            <v>GUNIEA</v>
          </cell>
          <cell r="F73" t="str">
            <v>GUNIEA-PDI</v>
          </cell>
          <cell r="G73" t="str">
            <v>TRANSFER</v>
          </cell>
          <cell r="H73" t="str">
            <v>0</v>
          </cell>
          <cell r="I73"/>
        </row>
        <row r="74">
          <cell r="B74" t="str">
            <v>LIV-0319</v>
          </cell>
          <cell r="C74" t="str">
            <v>TOYOTA HILUX 4X4 MEDIUM GRADE- DOUB|E CABIN</v>
          </cell>
          <cell r="D74" t="str">
            <v>06. LIGHT VEHICLE</v>
          </cell>
          <cell r="E74" t="str">
            <v>GUNIEA</v>
          </cell>
          <cell r="F74" t="str">
            <v>GUNIEA-PDI</v>
          </cell>
          <cell r="G74" t="str">
            <v>GOOD CONDITION</v>
          </cell>
          <cell r="H74" t="str">
            <v>1</v>
          </cell>
          <cell r="I74"/>
        </row>
        <row r="75">
          <cell r="B75" t="str">
            <v>LIV-0320</v>
          </cell>
          <cell r="C75" t="str">
            <v>TOYOTA HILUX 4X4 MEDIUM GRADE- DOUB|E CABIN</v>
          </cell>
          <cell r="D75" t="str">
            <v>06. LIGHT VEHICLE</v>
          </cell>
          <cell r="E75" t="str">
            <v>GUNIEA</v>
          </cell>
          <cell r="F75" t="str">
            <v>GUNIEA-PDI</v>
          </cell>
          <cell r="G75" t="str">
            <v>TRANSFER</v>
          </cell>
          <cell r="H75" t="str">
            <v>0</v>
          </cell>
          <cell r="I75"/>
        </row>
        <row r="76">
          <cell r="B76" t="str">
            <v>LIV-0321</v>
          </cell>
          <cell r="C76" t="str">
            <v>TOYOTA HILUX 4X4 MEDIUM GRADE- DOUB|E CABIN</v>
          </cell>
          <cell r="D76" t="str">
            <v>06. LIGHT VEHICLE</v>
          </cell>
          <cell r="E76" t="str">
            <v>GUNIEA</v>
          </cell>
          <cell r="F76" t="str">
            <v>KAROUSSA</v>
          </cell>
          <cell r="G76" t="str">
            <v>GOOD CONDITION</v>
          </cell>
          <cell r="H76" t="str">
            <v>1</v>
          </cell>
          <cell r="I76"/>
        </row>
        <row r="77">
          <cell r="B77" t="str">
            <v>LIV-0176</v>
          </cell>
          <cell r="C77" t="str">
            <v>TOYOTA HILUX DC 4 X4 2.5 GT 7042-12 2011</v>
          </cell>
          <cell r="D77" t="str">
            <v>06. LIGHT VEHICLE</v>
          </cell>
          <cell r="E77" t="str">
            <v>MALI</v>
          </cell>
          <cell r="F77" t="str">
            <v>BAMAKO</v>
          </cell>
          <cell r="G77" t="str">
            <v>BAD CONDITION</v>
          </cell>
          <cell r="H77" t="str">
            <v>0</v>
          </cell>
          <cell r="I77"/>
        </row>
        <row r="78">
          <cell r="B78" t="str">
            <v>LIV-0236</v>
          </cell>
          <cell r="C78" t="str">
            <v>HILUX 2.4 D-4D 4X4 DC M/T6 COMFORT</v>
          </cell>
          <cell r="D78" t="str">
            <v>06. LIGHT VEHICLE</v>
          </cell>
          <cell r="E78" t="str">
            <v>MALI</v>
          </cell>
          <cell r="F78" t="str">
            <v>BAMAKO</v>
          </cell>
          <cell r="G78" t="str">
            <v>GOOD CONDITION</v>
          </cell>
          <cell r="H78" t="str">
            <v>1</v>
          </cell>
          <cell r="I78"/>
        </row>
        <row r="79">
          <cell r="B79" t="str">
            <v>LIV-0314</v>
          </cell>
          <cell r="C79" t="str">
            <v>CAB - COUNTRY MANAGER</v>
          </cell>
          <cell r="D79" t="str">
            <v>06. LIGHT VEHICLE</v>
          </cell>
          <cell r="E79" t="str">
            <v>MALI</v>
          </cell>
          <cell r="F79" t="str">
            <v>BAMAKO</v>
          </cell>
          <cell r="G79" t="str">
            <v>WAITING PO</v>
          </cell>
          <cell r="H79" t="str">
            <v>0</v>
          </cell>
          <cell r="I79"/>
        </row>
        <row r="80">
          <cell r="B80" t="str">
            <v>LIV-0322</v>
          </cell>
          <cell r="C80" t="str">
            <v>TOYOTA HILUX 4X4 MEDIUM GRADE- DOUB|E CABIN</v>
          </cell>
          <cell r="D80" t="str">
            <v>06. LIGHT VEHICLE</v>
          </cell>
          <cell r="E80" t="str">
            <v>MALI</v>
          </cell>
          <cell r="F80" t="str">
            <v>BAMAKO</v>
          </cell>
          <cell r="G80" t="str">
            <v>GOOD CONDITION</v>
          </cell>
          <cell r="H80" t="str">
            <v>1</v>
          </cell>
          <cell r="I80"/>
        </row>
        <row r="81">
          <cell r="B81" t="str">
            <v>LIV-0323</v>
          </cell>
          <cell r="C81" t="str">
            <v>TOYOTA LAND CRUISER PICK UP SINGLE CABIN</v>
          </cell>
          <cell r="D81" t="str">
            <v>06. LIGHT VEHICLE</v>
          </cell>
          <cell r="E81" t="str">
            <v>MALI</v>
          </cell>
          <cell r="F81" t="str">
            <v>BAMAKO</v>
          </cell>
          <cell r="G81" t="str">
            <v>ON PO</v>
          </cell>
          <cell r="H81" t="str">
            <v>0</v>
          </cell>
          <cell r="I81"/>
        </row>
        <row r="82">
          <cell r="B82" t="str">
            <v>LIV-0324</v>
          </cell>
          <cell r="C82" t="str">
            <v>TOYOTA LAND CRUISER PICK UP SINGLE CABIN</v>
          </cell>
          <cell r="D82" t="str">
            <v>06. LIGHT VEHICLE</v>
          </cell>
          <cell r="E82" t="str">
            <v>MALI</v>
          </cell>
          <cell r="F82" t="str">
            <v>BAMAKO</v>
          </cell>
          <cell r="G82" t="str">
            <v>ON PO</v>
          </cell>
          <cell r="H82" t="str">
            <v>0</v>
          </cell>
          <cell r="I82"/>
        </row>
        <row r="83">
          <cell r="B83" t="str">
            <v>LIV-0325</v>
          </cell>
          <cell r="C83" t="str">
            <v>TOYOTA LAND CRUISER PICK UP SINGLE CABIN</v>
          </cell>
          <cell r="D83" t="str">
            <v>06. LIGHT VEHICLE</v>
          </cell>
          <cell r="E83" t="str">
            <v>MALI</v>
          </cell>
          <cell r="F83" t="str">
            <v>BAMAKO</v>
          </cell>
          <cell r="G83" t="str">
            <v>ON PO</v>
          </cell>
          <cell r="H83" t="str">
            <v>0</v>
          </cell>
          <cell r="I83"/>
        </row>
        <row r="84">
          <cell r="B84" t="str">
            <v>LIV-0326</v>
          </cell>
          <cell r="C84" t="str">
            <v>TOYOTA HILUX 4X4 DOUBLE CABIN -HIGH GRADE</v>
          </cell>
          <cell r="D84" t="str">
            <v>06. LIGHT VEHICLE</v>
          </cell>
          <cell r="E84" t="str">
            <v>MALI</v>
          </cell>
          <cell r="F84" t="str">
            <v>BAMAKO</v>
          </cell>
          <cell r="G84" t="str">
            <v>ON PO</v>
          </cell>
          <cell r="H84" t="str">
            <v>0</v>
          </cell>
          <cell r="I84"/>
        </row>
        <row r="85">
          <cell r="B85" t="str">
            <v>LIV-0327</v>
          </cell>
          <cell r="C85" t="str">
            <v>DUAL CAB LC - SUPPORT EX AMS 685 DR760</v>
          </cell>
          <cell r="D85" t="str">
            <v>06. LIGHT VEHICLE</v>
          </cell>
          <cell r="E85" t="str">
            <v>MALI</v>
          </cell>
          <cell r="F85" t="str">
            <v>BAMAKO</v>
          </cell>
          <cell r="G85" t="str">
            <v>WAITING PO</v>
          </cell>
          <cell r="H85" t="str">
            <v>0</v>
          </cell>
          <cell r="I85"/>
        </row>
        <row r="86">
          <cell r="B86" t="str">
            <v>LIV-0328</v>
          </cell>
          <cell r="C86" t="str">
            <v>DUAL CAB LC - SUPPORT EX AMS 685 DR783</v>
          </cell>
          <cell r="D86" t="str">
            <v>06. LIGHT VEHICLE</v>
          </cell>
          <cell r="E86" t="str">
            <v>MALI</v>
          </cell>
          <cell r="F86" t="str">
            <v>BAMAKO</v>
          </cell>
          <cell r="G86" t="str">
            <v>WAITING PO</v>
          </cell>
          <cell r="H86" t="str">
            <v>0</v>
          </cell>
          <cell r="I86"/>
        </row>
        <row r="87">
          <cell r="B87" t="str">
            <v>LIV-0346</v>
          </cell>
          <cell r="C87" t="str">
            <v>4 UNITS OF SINGLE CAB TOYOTA CAB CHASSIS</v>
          </cell>
          <cell r="D87" t="str">
            <v>06. LIGHT VEHICLE</v>
          </cell>
          <cell r="E87" t="str">
            <v>MALI</v>
          </cell>
          <cell r="F87" t="str">
            <v>BAMAKO</v>
          </cell>
          <cell r="G87" t="str">
            <v>ON PO</v>
          </cell>
          <cell r="H87" t="str">
            <v>0</v>
          </cell>
          <cell r="I87"/>
        </row>
        <row r="88">
          <cell r="B88" t="str">
            <v>LIV-0347</v>
          </cell>
          <cell r="C88" t="str">
            <v>4 UNITS OF SINGLE CAB TOYOTA CAB CHASSIS</v>
          </cell>
          <cell r="D88" t="str">
            <v>06. LIGHT VEHICLE</v>
          </cell>
          <cell r="E88" t="str">
            <v>MALI</v>
          </cell>
          <cell r="F88" t="str">
            <v>BAMAKO</v>
          </cell>
          <cell r="G88" t="str">
            <v>ON PO</v>
          </cell>
          <cell r="H88" t="str">
            <v>0</v>
          </cell>
          <cell r="I88"/>
        </row>
        <row r="89">
          <cell r="B89" t="str">
            <v>LIV-0348</v>
          </cell>
          <cell r="C89" t="str">
            <v>4 UNITS OF SINGLE CAB TOYOTA CAB CHASSIS</v>
          </cell>
          <cell r="D89" t="str">
            <v>06. LIGHT VEHICLE</v>
          </cell>
          <cell r="E89" t="str">
            <v>MALI</v>
          </cell>
          <cell r="F89" t="str">
            <v>BAMAKO</v>
          </cell>
          <cell r="G89" t="str">
            <v>ON PO</v>
          </cell>
          <cell r="H89" t="str">
            <v>0</v>
          </cell>
          <cell r="I89"/>
        </row>
        <row r="90">
          <cell r="B90" t="str">
            <v>LIV-0349</v>
          </cell>
          <cell r="C90" t="str">
            <v>4 UNITS OF SINGLE CAB TOYOTA CAB CHASSIS</v>
          </cell>
          <cell r="D90" t="str">
            <v>06. LIGHT VEHICLE</v>
          </cell>
          <cell r="E90" t="str">
            <v>MALI</v>
          </cell>
          <cell r="F90" t="str">
            <v>BAMAKO</v>
          </cell>
          <cell r="G90" t="str">
            <v>ON PO</v>
          </cell>
          <cell r="H90" t="str">
            <v>0</v>
          </cell>
          <cell r="I90"/>
        </row>
        <row r="91">
          <cell r="B91" t="str">
            <v>LIV-0350</v>
          </cell>
          <cell r="C91" t="str">
            <v>4 UNITS OF DUAL CAB TOYOTA CAB CHASSIS</v>
          </cell>
          <cell r="D91" t="str">
            <v>06. LIGHT VEHICLE</v>
          </cell>
          <cell r="E91" t="str">
            <v>MALI</v>
          </cell>
          <cell r="F91" t="str">
            <v>BAMAKO</v>
          </cell>
          <cell r="G91" t="str">
            <v>ON PO</v>
          </cell>
          <cell r="H91" t="str">
            <v>0</v>
          </cell>
          <cell r="I91"/>
        </row>
        <row r="92">
          <cell r="B92" t="str">
            <v>LIV-0351</v>
          </cell>
          <cell r="C92" t="str">
            <v>4 UNITS OF DUAL CAB TOYOTA CAB CHASSIS</v>
          </cell>
          <cell r="D92" t="str">
            <v>06. LIGHT VEHICLE</v>
          </cell>
          <cell r="E92" t="str">
            <v>MALI</v>
          </cell>
          <cell r="F92" t="str">
            <v>BAMAKO</v>
          </cell>
          <cell r="G92" t="str">
            <v>ON PO</v>
          </cell>
          <cell r="H92" t="str">
            <v>0</v>
          </cell>
          <cell r="I92"/>
        </row>
        <row r="93">
          <cell r="B93" t="str">
            <v>LIV-0352</v>
          </cell>
          <cell r="C93" t="str">
            <v>4 UNITS OF DUAL CAB TOYOTA CAB CHASSIS</v>
          </cell>
          <cell r="D93" t="str">
            <v>06. LIGHT VEHICLE</v>
          </cell>
          <cell r="E93" t="str">
            <v>MALI</v>
          </cell>
          <cell r="F93" t="str">
            <v>BAMAKO</v>
          </cell>
          <cell r="G93" t="str">
            <v>ON PO</v>
          </cell>
          <cell r="H93" t="str">
            <v>0</v>
          </cell>
          <cell r="I93"/>
        </row>
        <row r="94">
          <cell r="B94" t="str">
            <v>LIV-0353</v>
          </cell>
          <cell r="C94" t="str">
            <v>4 UNITS OF DUAL CAB TOYOTA CAB CHASSIS</v>
          </cell>
          <cell r="D94" t="str">
            <v>06. LIGHT VEHICLE</v>
          </cell>
          <cell r="E94" t="str">
            <v>MALI</v>
          </cell>
          <cell r="F94" t="str">
            <v>BAMAKO</v>
          </cell>
          <cell r="G94" t="str">
            <v>ON PO</v>
          </cell>
          <cell r="H94" t="str">
            <v>0</v>
          </cell>
          <cell r="I94"/>
        </row>
        <row r="95">
          <cell r="B95" t="str">
            <v>LIV-0233</v>
          </cell>
          <cell r="C95" t="str">
            <v>TOYOTA HILUX 2.4 D-D4 4X4</v>
          </cell>
          <cell r="D95" t="str">
            <v>06. LIGHT VEHICLE</v>
          </cell>
          <cell r="E95" t="str">
            <v>MALI</v>
          </cell>
          <cell r="F95" t="str">
            <v>FIREFINCH</v>
          </cell>
          <cell r="G95" t="str">
            <v>BAD CONDITION</v>
          </cell>
          <cell r="H95" t="str">
            <v>0</v>
          </cell>
          <cell r="I95"/>
        </row>
        <row r="96">
          <cell r="B96" t="str">
            <v>LIV-0272</v>
          </cell>
          <cell r="C96" t="str">
            <v>TOYOTA LANDCRUISER DUAL CAB</v>
          </cell>
          <cell r="D96" t="str">
            <v>06. LIGHT VEHICLE</v>
          </cell>
          <cell r="E96" t="str">
            <v>MALI</v>
          </cell>
          <cell r="F96" t="str">
            <v>FIREFINCH</v>
          </cell>
          <cell r="G96" t="str">
            <v>GOOD CONDITION</v>
          </cell>
          <cell r="H96" t="str">
            <v>1</v>
          </cell>
          <cell r="I96"/>
        </row>
        <row r="97">
          <cell r="B97" t="str">
            <v>LIV-0275</v>
          </cell>
          <cell r="C97" t="str">
            <v>TOYOTA LANDCRUISER DUAL CAB, 4X4 6CYL, 4200CC</v>
          </cell>
          <cell r="D97" t="str">
            <v>06. LIGHT VEHICLE</v>
          </cell>
          <cell r="E97" t="str">
            <v>MALI</v>
          </cell>
          <cell r="F97" t="str">
            <v>FIREFINCH</v>
          </cell>
          <cell r="G97" t="str">
            <v>GOOD CONDITION</v>
          </cell>
          <cell r="H97" t="str">
            <v>1</v>
          </cell>
          <cell r="I97"/>
        </row>
        <row r="98">
          <cell r="B98" t="str">
            <v>LIV-0284</v>
          </cell>
          <cell r="C98" t="str">
            <v>TOYOTA HILUX 4X4 D/CAB MED GRADE, 4CYL, 2986CC</v>
          </cell>
          <cell r="D98" t="str">
            <v>06. LIGHT VEHICLE</v>
          </cell>
          <cell r="E98" t="str">
            <v>MALI</v>
          </cell>
          <cell r="F98" t="str">
            <v>FIREFINCH</v>
          </cell>
          <cell r="G98" t="str">
            <v>GOOD CONDITION</v>
          </cell>
          <cell r="H98" t="str">
            <v>1</v>
          </cell>
          <cell r="I98"/>
        </row>
        <row r="99">
          <cell r="B99" t="str">
            <v>LIV-0310</v>
          </cell>
          <cell r="C99" t="str">
            <v>DUAL CAB TOYOTA CHASSIS-MTC</v>
          </cell>
          <cell r="D99" t="str">
            <v>06. LIGHT VEHICLE</v>
          </cell>
          <cell r="E99" t="str">
            <v>MALI</v>
          </cell>
          <cell r="F99" t="str">
            <v>FIREFINCH</v>
          </cell>
          <cell r="G99" t="str">
            <v>GOOD CONDITION</v>
          </cell>
          <cell r="H99" t="str">
            <v>1</v>
          </cell>
          <cell r="I99"/>
        </row>
        <row r="100">
          <cell r="B100" t="str">
            <v>LIV-0311</v>
          </cell>
          <cell r="C100" t="str">
            <v>DUAL CAB TOYOTA CHASSIS</v>
          </cell>
          <cell r="D100" t="str">
            <v>06. LIGHT VEHICLE</v>
          </cell>
          <cell r="E100" t="str">
            <v>MALI</v>
          </cell>
          <cell r="F100" t="str">
            <v>FIREFINCH</v>
          </cell>
          <cell r="G100" t="str">
            <v>GOOD CONDITION</v>
          </cell>
          <cell r="H100" t="str">
            <v>1</v>
          </cell>
          <cell r="I100"/>
        </row>
        <row r="101">
          <cell r="B101" t="str">
            <v>LIV-0313</v>
          </cell>
          <cell r="C101" t="str">
            <v>DUAL CAB TOYOTA CHASSIS</v>
          </cell>
          <cell r="D101" t="str">
            <v>06. LIGHT VEHICLE</v>
          </cell>
          <cell r="E101" t="str">
            <v>MALI</v>
          </cell>
          <cell r="F101" t="str">
            <v>FIREFINCH</v>
          </cell>
          <cell r="G101" t="str">
            <v>GOOD CONDITION</v>
          </cell>
          <cell r="H101" t="str">
            <v>1</v>
          </cell>
          <cell r="I101"/>
        </row>
        <row r="102">
          <cell r="B102" t="str">
            <v>LIV-0262</v>
          </cell>
          <cell r="C102" t="str">
            <v>TOYOTA HILUX COMFORT</v>
          </cell>
          <cell r="D102" t="str">
            <v>06. LIGHT VEHICLE</v>
          </cell>
          <cell r="E102" t="str">
            <v>MALI</v>
          </cell>
          <cell r="F102" t="str">
            <v>MALI-HUMMINGBIRD</v>
          </cell>
          <cell r="G102" t="str">
            <v>GOOD CONDITION</v>
          </cell>
          <cell r="H102" t="str">
            <v>1</v>
          </cell>
          <cell r="I102"/>
        </row>
        <row r="103">
          <cell r="B103" t="str">
            <v>LIV-0279</v>
          </cell>
          <cell r="C103" t="str">
            <v>TOYOTA L/CRUISER PICK-UP DOUBLE CABIN - 4 X4 - 6-</v>
          </cell>
          <cell r="D103" t="str">
            <v>06. LIGHT VEHICLE</v>
          </cell>
          <cell r="E103" t="str">
            <v>MALI</v>
          </cell>
          <cell r="F103" t="str">
            <v>MALI-HUMMINGBIRD</v>
          </cell>
          <cell r="G103" t="str">
            <v>GOOD CONDITION</v>
          </cell>
          <cell r="H103" t="str">
            <v>1</v>
          </cell>
          <cell r="I103"/>
        </row>
        <row r="104">
          <cell r="B104" t="str">
            <v>LIV-0283</v>
          </cell>
          <cell r="C104" t="str">
            <v>TOYOTA HILUX 4X4 D/CAB MED GRADE, 4CYL, 2986CC</v>
          </cell>
          <cell r="D104" t="str">
            <v>06. LIGHT VEHICLE</v>
          </cell>
          <cell r="E104" t="str">
            <v>MALI</v>
          </cell>
          <cell r="F104" t="str">
            <v>MALI-HUMMINGBIRD</v>
          </cell>
          <cell r="G104" t="str">
            <v>GOOD CONDITION</v>
          </cell>
          <cell r="H104" t="str">
            <v>1</v>
          </cell>
          <cell r="I104"/>
        </row>
        <row r="105">
          <cell r="B105" t="str">
            <v>LIV-0289</v>
          </cell>
          <cell r="C105" t="str">
            <v>TOYOTA LAND CRUISER PICK-UP S/CAB, 6CYL - 4200CC-</v>
          </cell>
          <cell r="D105" t="str">
            <v>06. LIGHT VEHICLE</v>
          </cell>
          <cell r="E105" t="str">
            <v>MALI</v>
          </cell>
          <cell r="F105" t="str">
            <v>MALI-HUMMINGBIRD</v>
          </cell>
          <cell r="G105" t="str">
            <v>GOOD CONDITION</v>
          </cell>
          <cell r="H105" t="str">
            <v>1</v>
          </cell>
          <cell r="I105"/>
        </row>
        <row r="106">
          <cell r="B106" t="str">
            <v>LIV-0234</v>
          </cell>
          <cell r="C106" t="str">
            <v>TOYOTA HILUX 2.4 D-D4 4X4</v>
          </cell>
          <cell r="D106" t="str">
            <v>06. LIGHT VEHICLE</v>
          </cell>
          <cell r="E106" t="str">
            <v>MALI</v>
          </cell>
          <cell r="F106" t="str">
            <v>SYAMA</v>
          </cell>
          <cell r="G106" t="str">
            <v>BAD CONDITION</v>
          </cell>
          <cell r="H106" t="str">
            <v>0</v>
          </cell>
          <cell r="I106"/>
        </row>
        <row r="107">
          <cell r="B107" t="str">
            <v>LIV-0235</v>
          </cell>
          <cell r="C107" t="str">
            <v>TOYOTA HILUX 2.4 D-D4 4X4</v>
          </cell>
          <cell r="D107" t="str">
            <v>06. LIGHT VEHICLE</v>
          </cell>
          <cell r="E107" t="str">
            <v>MALI</v>
          </cell>
          <cell r="F107" t="str">
            <v>SYAMA</v>
          </cell>
          <cell r="G107" t="str">
            <v>BAD CONDITION</v>
          </cell>
          <cell r="H107" t="str">
            <v>0</v>
          </cell>
          <cell r="I107"/>
        </row>
        <row r="108">
          <cell r="B108" t="str">
            <v>LIV-0242</v>
          </cell>
          <cell r="C108" t="str">
            <v>TOYOTA HILUX 2.4 DIESEL SINGLE CAB 4WD</v>
          </cell>
          <cell r="D108" t="str">
            <v>06. LIGHT VEHICLE</v>
          </cell>
          <cell r="E108" t="str">
            <v>MALI</v>
          </cell>
          <cell r="F108" t="str">
            <v>SYAMA</v>
          </cell>
          <cell r="G108" t="str">
            <v>GOOD CONDITION</v>
          </cell>
          <cell r="H108" t="str">
            <v>1</v>
          </cell>
          <cell r="I108"/>
        </row>
        <row r="109">
          <cell r="B109" t="str">
            <v>LIV-0273</v>
          </cell>
          <cell r="C109" t="str">
            <v>TOYOTA LANDCRUISER DUAL CAB, 4X4 6CYL, 4200CC</v>
          </cell>
          <cell r="D109" t="str">
            <v>06. LIGHT VEHICLE</v>
          </cell>
          <cell r="E109" t="str">
            <v>MALI</v>
          </cell>
          <cell r="F109" t="str">
            <v>SYAMA</v>
          </cell>
          <cell r="G109" t="str">
            <v>GOOD CONDITION</v>
          </cell>
          <cell r="H109" t="str">
            <v>1</v>
          </cell>
          <cell r="I109"/>
        </row>
        <row r="110">
          <cell r="B110" t="str">
            <v>LIV-0274</v>
          </cell>
          <cell r="C110" t="str">
            <v>TOYOTA LANDCRUISER DUAL CAB, 4X4 6CYL</v>
          </cell>
          <cell r="D110" t="str">
            <v>06. LIGHT VEHICLE</v>
          </cell>
          <cell r="E110" t="str">
            <v>MALI</v>
          </cell>
          <cell r="F110" t="str">
            <v>SYAMA</v>
          </cell>
          <cell r="G110" t="str">
            <v>GOOD CONDITION</v>
          </cell>
          <cell r="H110" t="str">
            <v>1</v>
          </cell>
          <cell r="I110"/>
        </row>
        <row r="111">
          <cell r="B111" t="str">
            <v>LIV-0282</v>
          </cell>
          <cell r="C111" t="str">
            <v>TOYOTA LAND CRUISER SINGLE CAB, 6CYL 4200CC</v>
          </cell>
          <cell r="D111" t="str">
            <v>06. LIGHT VEHICLE</v>
          </cell>
          <cell r="E111" t="str">
            <v>MALI</v>
          </cell>
          <cell r="F111" t="str">
            <v>SYAMA</v>
          </cell>
          <cell r="G111" t="str">
            <v>GOOD CONDITION</v>
          </cell>
          <cell r="H111" t="str">
            <v>1</v>
          </cell>
          <cell r="I111"/>
        </row>
        <row r="112">
          <cell r="B112" t="str">
            <v>LIV-0308</v>
          </cell>
          <cell r="C112" t="str">
            <v>TOYOTA SINGLE CAB CHASSIS-MTC</v>
          </cell>
          <cell r="D112" t="str">
            <v>06. LIGHT VEHICLE</v>
          </cell>
          <cell r="E112" t="str">
            <v>MALI</v>
          </cell>
          <cell r="F112" t="str">
            <v>SYAMA</v>
          </cell>
          <cell r="G112" t="str">
            <v>GOOD CONDITION</v>
          </cell>
          <cell r="H112" t="str">
            <v>1</v>
          </cell>
          <cell r="I112"/>
        </row>
        <row r="113">
          <cell r="B113" t="str">
            <v>LIV-0309</v>
          </cell>
          <cell r="C113" t="str">
            <v>TOYOTA SINGLE CAB CHASSIS-MTC</v>
          </cell>
          <cell r="D113" t="str">
            <v>06. LIGHT VEHICLE</v>
          </cell>
          <cell r="E113" t="str">
            <v>MALI</v>
          </cell>
          <cell r="F113" t="str">
            <v>SYAMA</v>
          </cell>
          <cell r="G113" t="str">
            <v>GOOD CONDITION</v>
          </cell>
          <cell r="H113" t="str">
            <v>1</v>
          </cell>
          <cell r="I113"/>
        </row>
        <row r="114">
          <cell r="B114" t="str">
            <v>GEN-0210</v>
          </cell>
          <cell r="C114" t="str">
            <v xml:space="preserve">LIGHTING PLANT VT-EVO, 402D-05, 1500/1800 T/MM-SAIDOLA </v>
          </cell>
          <cell r="D114" t="str">
            <v>07. LIGHTING TOWER</v>
          </cell>
          <cell r="E114" t="str">
            <v>MALI</v>
          </cell>
          <cell r="F114" t="str">
            <v>FIREFINCH</v>
          </cell>
          <cell r="G114" t="str">
            <v>ON PO</v>
          </cell>
          <cell r="H114" t="str">
            <v>0</v>
          </cell>
          <cell r="I114"/>
        </row>
        <row r="115">
          <cell r="B115" t="str">
            <v>GEN-0211</v>
          </cell>
          <cell r="C115" t="str">
            <v>LIGHTING PLANT VT-EVO, 402D-05, 1500/1800 T/MM-HMB</v>
          </cell>
          <cell r="D115" t="str">
            <v>07. LIGHTING TOWER</v>
          </cell>
          <cell r="E115" t="str">
            <v>MALI</v>
          </cell>
          <cell r="F115" t="str">
            <v>MALI-HUMMINGBIRD</v>
          </cell>
          <cell r="G115" t="str">
            <v>ON PO</v>
          </cell>
          <cell r="H115" t="str">
            <v>0</v>
          </cell>
          <cell r="I115"/>
        </row>
        <row r="116">
          <cell r="B116" t="str">
            <v>GEN-0212</v>
          </cell>
          <cell r="C116" t="str">
            <v>LIGHTING PLANT VT-EVO, 402D-05, 1500/1800 T/MM-SYAMA</v>
          </cell>
          <cell r="D116" t="str">
            <v>07. LIGHTING TOWER</v>
          </cell>
          <cell r="E116" t="str">
            <v>MALI</v>
          </cell>
          <cell r="F116" t="str">
            <v>SYAMA</v>
          </cell>
          <cell r="G116" t="str">
            <v>ON PO</v>
          </cell>
          <cell r="H116" t="str">
            <v>0</v>
          </cell>
          <cell r="I116"/>
        </row>
        <row r="117">
          <cell r="B117" t="str">
            <v>GEN-0213</v>
          </cell>
          <cell r="C117" t="str">
            <v>LIGHTING PLANT VT-EVO, 402D-05, 1500/1800 T/MM-SYAMA</v>
          </cell>
          <cell r="D117" t="str">
            <v>07. LIGHTING TOWER</v>
          </cell>
          <cell r="E117" t="str">
            <v>MALI</v>
          </cell>
          <cell r="F117" t="str">
            <v>SYAMA</v>
          </cell>
          <cell r="G117" t="str">
            <v>ON PO</v>
          </cell>
          <cell r="H117" t="str">
            <v>0</v>
          </cell>
          <cell r="I117"/>
        </row>
        <row r="118">
          <cell r="B118" t="str">
            <v>WPU-0057</v>
          </cell>
          <cell r="C118" t="str">
            <v>BEAN PUMP EX BOART LONGYEAR</v>
          </cell>
          <cell r="D118" t="str">
            <v>08. PUMP</v>
          </cell>
          <cell r="E118" t="str">
            <v>BURKINA FASO</v>
          </cell>
          <cell r="F118" t="str">
            <v>ARROW</v>
          </cell>
          <cell r="G118" t="str">
            <v>GOOD CONDITION</v>
          </cell>
          <cell r="H118" t="str">
            <v>1</v>
          </cell>
          <cell r="I118"/>
        </row>
        <row r="119">
          <cell r="B119" t="str">
            <v>WPU-0030</v>
          </cell>
          <cell r="C119" t="str">
            <v>MUD PUMP BW-1000/12</v>
          </cell>
          <cell r="D119" t="str">
            <v>08. PUMP</v>
          </cell>
          <cell r="E119" t="str">
            <v>MALI</v>
          </cell>
          <cell r="F119" t="str">
            <v>MALI-HUMMINGBIRD</v>
          </cell>
          <cell r="G119" t="str">
            <v>GOOD CONDITION</v>
          </cell>
          <cell r="H119" t="str">
            <v>1</v>
          </cell>
          <cell r="I119"/>
        </row>
        <row r="120">
          <cell r="B120" t="str">
            <v>WPU-0XXX</v>
          </cell>
          <cell r="C120" t="str">
            <v>BEAN PUMP-NON STOCK DOES NOT HAVE ASSET NUMBER</v>
          </cell>
          <cell r="D120" t="str">
            <v>08. PUMP</v>
          </cell>
          <cell r="E120" t="str">
            <v>MALI</v>
          </cell>
          <cell r="F120" t="str">
            <v>MALI-HUMMINGBIRD</v>
          </cell>
          <cell r="G120" t="str">
            <v>GOOD CONDITION</v>
          </cell>
          <cell r="H120" t="str">
            <v>1</v>
          </cell>
          <cell r="I120"/>
        </row>
        <row r="121">
          <cell r="B121" t="str">
            <v>TRU-0115</v>
          </cell>
          <cell r="C121" t="str">
            <v>BEIBEN TRUCK</v>
          </cell>
          <cell r="D121" t="str">
            <v>04. TRUCK</v>
          </cell>
          <cell r="E121" t="str">
            <v>BURKINA FASO</v>
          </cell>
          <cell r="F121" t="str">
            <v>ARROW</v>
          </cell>
          <cell r="G121" t="str">
            <v>GOOD CONDITION</v>
          </cell>
          <cell r="H121" t="str">
            <v>1</v>
          </cell>
          <cell r="I121"/>
        </row>
        <row r="122">
          <cell r="B122" t="str">
            <v>TRU-0128</v>
          </cell>
          <cell r="C122" t="str">
            <v>BEIBEN TRUCK - 6X6  4450+1450 LONG CAB/LHD</v>
          </cell>
          <cell r="D122" t="str">
            <v>04. TRUCK</v>
          </cell>
          <cell r="E122" t="str">
            <v>BURKINA FASO</v>
          </cell>
          <cell r="F122" t="str">
            <v>ARROW</v>
          </cell>
          <cell r="G122" t="str">
            <v>GOOD CONDITION</v>
          </cell>
          <cell r="H122" t="str">
            <v>1</v>
          </cell>
          <cell r="I122"/>
        </row>
        <row r="123">
          <cell r="B123" t="str">
            <v>TRU-0185</v>
          </cell>
          <cell r="C123" t="str">
            <v>MERCEDEZ BENZ TRUCK ACTROSS 4144K 8X4 (RIG-0083)</v>
          </cell>
          <cell r="D123" t="str">
            <v>04. TRUCK</v>
          </cell>
          <cell r="E123" t="str">
            <v>GUNIEA</v>
          </cell>
          <cell r="F123" t="str">
            <v>GUNIEA-PDI</v>
          </cell>
          <cell r="G123" t="str">
            <v>TRANSFER</v>
          </cell>
          <cell r="H123" t="str">
            <v>0</v>
          </cell>
          <cell r="I123"/>
        </row>
        <row r="124">
          <cell r="B124" t="str">
            <v>TRU-0239</v>
          </cell>
          <cell r="C124" t="str">
            <v>ASSET-VOLVO FL12 6X6 FLATBED</v>
          </cell>
          <cell r="D124" t="str">
            <v>04. TRUCK</v>
          </cell>
          <cell r="E124" t="str">
            <v>GUNIEA</v>
          </cell>
          <cell r="F124" t="str">
            <v>GUNIEA-PDI</v>
          </cell>
          <cell r="G124" t="str">
            <v>GOOD CONDITION</v>
          </cell>
          <cell r="H124" t="str">
            <v>1</v>
          </cell>
          <cell r="I124"/>
        </row>
        <row r="125">
          <cell r="B125" t="str">
            <v>TRU-0112</v>
          </cell>
          <cell r="C125" t="str">
            <v>MERCEDES BENZ TRUCKS 8X4 (RIG 79)</v>
          </cell>
          <cell r="D125" t="str">
            <v>04. TRUCK</v>
          </cell>
          <cell r="E125" t="str">
            <v>MALI</v>
          </cell>
          <cell r="F125" t="str">
            <v>ALTUS</v>
          </cell>
          <cell r="G125" t="str">
            <v>GOOD CONDITION</v>
          </cell>
          <cell r="H125" t="str">
            <v>1</v>
          </cell>
          <cell r="I125"/>
        </row>
        <row r="126">
          <cell r="B126" t="str">
            <v>TRU-0118</v>
          </cell>
          <cell r="C126" t="str">
            <v>MOROOKA MST - 1500</v>
          </cell>
          <cell r="D126" t="str">
            <v>04. TRUCK</v>
          </cell>
          <cell r="E126" t="str">
            <v>MALI</v>
          </cell>
          <cell r="F126" t="str">
            <v>BAMAKO</v>
          </cell>
          <cell r="G126" t="str">
            <v>GOOD CONDITION</v>
          </cell>
          <cell r="H126" t="str">
            <v>1</v>
          </cell>
          <cell r="I126"/>
        </row>
        <row r="127">
          <cell r="B127" t="str">
            <v>TRU-0126</v>
          </cell>
          <cell r="C127" t="str">
            <v>BEIBEN TRUCK - 6X6  4450+1450 LONG CAB/LHD</v>
          </cell>
          <cell r="D127" t="str">
            <v>04. TRUCK</v>
          </cell>
          <cell r="E127" t="str">
            <v>MALI</v>
          </cell>
          <cell r="F127" t="str">
            <v>BAMAKO</v>
          </cell>
          <cell r="G127" t="str">
            <v>GOOD CONDITION</v>
          </cell>
          <cell r="H127" t="str">
            <v>1</v>
          </cell>
          <cell r="I127"/>
        </row>
        <row r="128">
          <cell r="B128" t="str">
            <v>TRU-0256</v>
          </cell>
          <cell r="C128" t="str">
            <v>ASSET-USED JCB 535-140 TELEPOTER</v>
          </cell>
          <cell r="D128" t="str">
            <v>04. TRUCK</v>
          </cell>
          <cell r="E128" t="str">
            <v>MALI</v>
          </cell>
          <cell r="F128" t="str">
            <v>BAMAKO</v>
          </cell>
          <cell r="G128" t="str">
            <v>GOOD CONDITION</v>
          </cell>
          <cell r="H128" t="str">
            <v>1</v>
          </cell>
          <cell r="I128"/>
        </row>
        <row r="129">
          <cell r="B129" t="str">
            <v>TRU-0260</v>
          </cell>
          <cell r="C129" t="str">
            <v>ASTRA HD9 440HP 6X6 HD DAY CAB</v>
          </cell>
          <cell r="D129" t="str">
            <v>04. TRUCK</v>
          </cell>
          <cell r="E129" t="str">
            <v>MALI</v>
          </cell>
          <cell r="F129" t="str">
            <v>BAMAKO</v>
          </cell>
          <cell r="G129" t="str">
            <v>GOOD CONDITION</v>
          </cell>
          <cell r="H129" t="str">
            <v>1</v>
          </cell>
          <cell r="I129"/>
        </row>
        <row r="130">
          <cell r="B130" t="str">
            <v>TRU-0261</v>
          </cell>
          <cell r="C130" t="str">
            <v>CAT-330 CL HYDRAULIC EXACAVATOR - YEAR 2005</v>
          </cell>
          <cell r="D130" t="str">
            <v>04. TRUCK</v>
          </cell>
          <cell r="E130" t="str">
            <v>MALI</v>
          </cell>
          <cell r="F130" t="str">
            <v>BAMAKO</v>
          </cell>
          <cell r="G130" t="str">
            <v>WIP - JOB IN PROGRESS</v>
          </cell>
          <cell r="H130" t="str">
            <v>0</v>
          </cell>
          <cell r="I130"/>
        </row>
        <row r="131">
          <cell r="B131" t="str">
            <v>TRU-0262</v>
          </cell>
          <cell r="C131" t="str">
            <v>CAT-330 CL HYDRAULIC EXACAVATOR - YEAR 2006</v>
          </cell>
          <cell r="D131" t="str">
            <v>04. TRUCK</v>
          </cell>
          <cell r="E131" t="str">
            <v>MALI</v>
          </cell>
          <cell r="F131" t="str">
            <v>BAMAKO</v>
          </cell>
          <cell r="G131" t="str">
            <v>WIP - JOB IN PROGRESS</v>
          </cell>
          <cell r="H131" t="str">
            <v>0</v>
          </cell>
          <cell r="I131"/>
        </row>
        <row r="132">
          <cell r="B132" t="str">
            <v>TRU-0275</v>
          </cell>
          <cell r="C132" t="str">
            <v>ASTRA HD9 420HP 6X6 HD CHASSIS WITH TWISTLOCKS AND CRANE</v>
          </cell>
          <cell r="D132" t="str">
            <v>04. TRUCK</v>
          </cell>
          <cell r="E132" t="str">
            <v>MALI</v>
          </cell>
          <cell r="F132" t="str">
            <v>BAMAKO</v>
          </cell>
          <cell r="G132" t="str">
            <v>GOOD CONDITION</v>
          </cell>
          <cell r="H132" t="str">
            <v>1</v>
          </cell>
          <cell r="I132"/>
        </row>
        <row r="133">
          <cell r="B133" t="str">
            <v>TRU-0276</v>
          </cell>
          <cell r="C133" t="str">
            <v>ASTRA HD9 440HP 8X8 HEAVY DUTY CHASSIS CAB</v>
          </cell>
          <cell r="D133" t="str">
            <v>04. TRUCK</v>
          </cell>
          <cell r="E133" t="str">
            <v>MALI</v>
          </cell>
          <cell r="F133" t="str">
            <v>BAMAKO</v>
          </cell>
          <cell r="G133" t="str">
            <v>GOOD CONDITION</v>
          </cell>
          <cell r="H133" t="str">
            <v>1</v>
          </cell>
          <cell r="I133"/>
        </row>
        <row r="134">
          <cell r="B134" t="str">
            <v>TRU-0277</v>
          </cell>
          <cell r="C134" t="str">
            <v>ASTRA HD9 440HP 8X8 HEAVY DUTY CHASSIS CAB</v>
          </cell>
          <cell r="D134" t="str">
            <v>04. TRUCK</v>
          </cell>
          <cell r="E134" t="str">
            <v>MALI</v>
          </cell>
          <cell r="F134" t="str">
            <v>BAMAKO</v>
          </cell>
          <cell r="G134" t="str">
            <v>GOOD CONDITION</v>
          </cell>
          <cell r="H134" t="str">
            <v>1</v>
          </cell>
          <cell r="I134"/>
        </row>
        <row r="135">
          <cell r="B135" t="str">
            <v>TRU-0278</v>
          </cell>
          <cell r="C135" t="str">
            <v>ASTRA HD9 440HP 8X8 HEAVY DUTY CHASSIS CAB - RIG-0035</v>
          </cell>
          <cell r="D135" t="str">
            <v>04. TRUCK</v>
          </cell>
          <cell r="E135" t="str">
            <v>MALI</v>
          </cell>
          <cell r="F135" t="str">
            <v>BAMAKO</v>
          </cell>
          <cell r="G135" t="str">
            <v>GOOD CONDITION</v>
          </cell>
          <cell r="H135" t="str">
            <v>1</v>
          </cell>
          <cell r="I135"/>
        </row>
        <row r="136">
          <cell r="B136" t="str">
            <v>TRU-0280</v>
          </cell>
          <cell r="C136" t="str">
            <v>ASTRA HD9 440HP 8X8 AND CUSTOM COMPRESSOR BOOSTER TRAY</v>
          </cell>
          <cell r="D136" t="str">
            <v>04. TRUCK</v>
          </cell>
          <cell r="E136" t="str">
            <v>MALI</v>
          </cell>
          <cell r="F136" t="str">
            <v>BAMAKO</v>
          </cell>
          <cell r="G136" t="str">
            <v>GOOD CONDITION</v>
          </cell>
          <cell r="H136" t="str">
            <v>1</v>
          </cell>
          <cell r="I136"/>
        </row>
        <row r="137">
          <cell r="B137" t="str">
            <v>TRU-0283</v>
          </cell>
          <cell r="C137" t="str">
            <v xml:space="preserve">NEW &amp; ASTRA TRUCK 6X6 MODEL HD9 66.48 </v>
          </cell>
          <cell r="D137" t="str">
            <v>04. TRUCK</v>
          </cell>
          <cell r="E137" t="str">
            <v>MALI</v>
          </cell>
          <cell r="F137" t="str">
            <v>BAMAKO</v>
          </cell>
          <cell r="G137" t="str">
            <v>ON PO</v>
          </cell>
          <cell r="H137" t="str">
            <v>0</v>
          </cell>
          <cell r="I137"/>
        </row>
        <row r="138">
          <cell r="B138" t="str">
            <v>TRU-0284</v>
          </cell>
          <cell r="C138" t="str">
            <v xml:space="preserve">NEW &amp; ASTRA TRUCK 6X6 MODEL HD9 66.48 </v>
          </cell>
          <cell r="D138" t="str">
            <v>04. TRUCK</v>
          </cell>
          <cell r="E138" t="str">
            <v>MALI</v>
          </cell>
          <cell r="F138" t="str">
            <v>BAMAKO</v>
          </cell>
          <cell r="G138" t="str">
            <v>ON PO</v>
          </cell>
          <cell r="H138" t="str">
            <v>0</v>
          </cell>
          <cell r="I138"/>
        </row>
        <row r="139">
          <cell r="B139" t="str">
            <v>TRU-0292</v>
          </cell>
          <cell r="C139" t="str">
            <v>6X6 ASTRA WITH CRANE (SUPPORT TRUCK/EX AMS 685 DR760)</v>
          </cell>
          <cell r="D139" t="str">
            <v>04. TRUCK</v>
          </cell>
          <cell r="E139" t="str">
            <v>MALI</v>
          </cell>
          <cell r="F139" t="str">
            <v>BAMAKO</v>
          </cell>
          <cell r="G139" t="str">
            <v>WAITING PO</v>
          </cell>
          <cell r="H139" t="str">
            <v>0</v>
          </cell>
          <cell r="I139"/>
        </row>
        <row r="140">
          <cell r="B140" t="str">
            <v>TRU-0293</v>
          </cell>
          <cell r="C140" t="str">
            <v>6X6 ASTRA WITH CRANE (SUPPORT TRUCK/EX AMS 685 DR783)</v>
          </cell>
          <cell r="D140" t="str">
            <v>04. TRUCK</v>
          </cell>
          <cell r="E140" t="str">
            <v>MALI</v>
          </cell>
          <cell r="F140" t="str">
            <v>BAMAKO</v>
          </cell>
          <cell r="G140" t="str">
            <v>WAITING PO</v>
          </cell>
          <cell r="H140" t="str">
            <v>0</v>
          </cell>
          <cell r="I140"/>
        </row>
        <row r="141">
          <cell r="B141" t="str">
            <v>TRU-0296</v>
          </cell>
          <cell r="C141" t="str">
            <v>4 ASTRA HD9 440HP TRUCK 8*8 HEAVY DUTY CHASIS CAB</v>
          </cell>
          <cell r="D141" t="str">
            <v>04. TRUCK</v>
          </cell>
          <cell r="E141" t="str">
            <v>MALI</v>
          </cell>
          <cell r="F141" t="str">
            <v>BAMAKO</v>
          </cell>
          <cell r="G141" t="str">
            <v>ON PO</v>
          </cell>
          <cell r="H141" t="str">
            <v>0</v>
          </cell>
          <cell r="I141"/>
        </row>
        <row r="142">
          <cell r="B142" t="str">
            <v>TRU-0297</v>
          </cell>
          <cell r="C142" t="str">
            <v>4 ASTRA HD9 440HP TRUCK 8*8 HEAVY DUTY CHASIS CAB</v>
          </cell>
          <cell r="D142" t="str">
            <v>04. TRUCK</v>
          </cell>
          <cell r="E142" t="str">
            <v>MALI</v>
          </cell>
          <cell r="F142" t="str">
            <v>BAMAKO</v>
          </cell>
          <cell r="G142" t="str">
            <v>ON PO</v>
          </cell>
          <cell r="H142" t="str">
            <v>0</v>
          </cell>
          <cell r="I142"/>
        </row>
        <row r="143">
          <cell r="B143" t="str">
            <v>TRU-0298</v>
          </cell>
          <cell r="C143" t="str">
            <v>4 ASTRA HD9 440HP TRUCK 8*8 HEAVY DUTY CHASIS CAB</v>
          </cell>
          <cell r="D143" t="str">
            <v>04. TRUCK</v>
          </cell>
          <cell r="E143" t="str">
            <v>MALI</v>
          </cell>
          <cell r="F143" t="str">
            <v>BAMAKO</v>
          </cell>
          <cell r="G143" t="str">
            <v>ON PO</v>
          </cell>
          <cell r="H143" t="str">
            <v>0</v>
          </cell>
          <cell r="I143"/>
        </row>
        <row r="144">
          <cell r="B144" t="str">
            <v>TRU-0299</v>
          </cell>
          <cell r="C144" t="str">
            <v>4 ASTRA HD9 440HP TRUCK 8*8 HEAVY DUTY CHASIS CAB</v>
          </cell>
          <cell r="D144" t="str">
            <v>04. TRUCK</v>
          </cell>
          <cell r="E144" t="str">
            <v>MALI</v>
          </cell>
          <cell r="F144" t="str">
            <v>BAMAKO</v>
          </cell>
          <cell r="G144" t="str">
            <v>ON PO</v>
          </cell>
          <cell r="H144" t="str">
            <v>0</v>
          </cell>
          <cell r="I144"/>
        </row>
        <row r="145">
          <cell r="B145" t="str">
            <v>TRU-0300</v>
          </cell>
          <cell r="C145" t="str">
            <v>ASTRA HD9 420 HP TRUCKS 6*6 HD CHASIS WITH 6.5 METRE DROPSIDE FLATED WITH TWISTLOCKS WITH CAB MOUNTED PM24024 CRANE</v>
          </cell>
          <cell r="D145" t="str">
            <v>04. TRUCK</v>
          </cell>
          <cell r="E145" t="str">
            <v>MALI</v>
          </cell>
          <cell r="F145" t="str">
            <v>BAMAKO</v>
          </cell>
          <cell r="G145" t="str">
            <v>ON PO</v>
          </cell>
          <cell r="H145" t="str">
            <v>0</v>
          </cell>
          <cell r="I145"/>
        </row>
        <row r="146">
          <cell r="B146" t="str">
            <v>TRU-0301</v>
          </cell>
          <cell r="C146" t="str">
            <v>ASTRA HD9 420 HP TRUCKS 6*6 HD CHASIS WITH 6.5 METRE DROPSIDE FLATED WITH TWISTLOCKS WITH CAB MOUNTED PM24024 CRANE</v>
          </cell>
          <cell r="D146" t="str">
            <v>04. TRUCK</v>
          </cell>
          <cell r="E146" t="str">
            <v>MALI</v>
          </cell>
          <cell r="F146" t="str">
            <v>BAMAKO</v>
          </cell>
          <cell r="G146" t="str">
            <v>ON PO</v>
          </cell>
          <cell r="H146" t="str">
            <v>0</v>
          </cell>
          <cell r="I146"/>
        </row>
        <row r="147">
          <cell r="B147" t="str">
            <v>TRU-0302</v>
          </cell>
          <cell r="C147" t="str">
            <v>ASTRA HD9 420 HP TRUCKS 6*6 HD CHASIS WITH 6.5 METRE DROPSIDE FLATED WITH TWISTLOCKS WITH CAB MOUNTED PM24024 CRANE</v>
          </cell>
          <cell r="D147" t="str">
            <v>04. TRUCK</v>
          </cell>
          <cell r="E147" t="str">
            <v>MALI</v>
          </cell>
          <cell r="F147" t="str">
            <v>BAMAKO</v>
          </cell>
          <cell r="G147" t="str">
            <v>ON PO</v>
          </cell>
          <cell r="H147" t="str">
            <v>0</v>
          </cell>
          <cell r="I147"/>
        </row>
        <row r="148">
          <cell r="B148" t="str">
            <v>TRU-0303</v>
          </cell>
          <cell r="C148" t="str">
            <v>ASTRA HD9 420 HP TRUCKS 6*6 HD CHASIS WITH 6.5 METRE DROPSIDE FLATED WITH TWISTLOCKS WITH CAB MOUNTED PM24024 CRANE</v>
          </cell>
          <cell r="D148" t="str">
            <v>04. TRUCK</v>
          </cell>
          <cell r="E148" t="str">
            <v>MALI</v>
          </cell>
          <cell r="F148" t="str">
            <v>BAMAKO</v>
          </cell>
          <cell r="G148" t="str">
            <v>ON PO</v>
          </cell>
          <cell r="H148" t="str">
            <v>0</v>
          </cell>
          <cell r="I148"/>
        </row>
        <row r="149">
          <cell r="B149" t="str">
            <v>TRU-0308</v>
          </cell>
          <cell r="C149" t="str">
            <v>6 UNITS OF 8X8 ASTRA TRUCKS</v>
          </cell>
          <cell r="D149" t="str">
            <v>04. TRUCK</v>
          </cell>
          <cell r="E149" t="str">
            <v>MALI</v>
          </cell>
          <cell r="F149" t="str">
            <v>BAMAKO</v>
          </cell>
          <cell r="G149" t="str">
            <v>ON PO</v>
          </cell>
          <cell r="H149" t="str">
            <v>0</v>
          </cell>
          <cell r="I149"/>
        </row>
        <row r="150">
          <cell r="B150" t="str">
            <v>TRU-0309</v>
          </cell>
          <cell r="C150" t="str">
            <v>6 UNITS OF 8X8 ASTRA TRUCKS</v>
          </cell>
          <cell r="D150" t="str">
            <v>04. TRUCK</v>
          </cell>
          <cell r="E150" t="str">
            <v>MALI</v>
          </cell>
          <cell r="F150" t="str">
            <v>BAMAKO</v>
          </cell>
          <cell r="G150" t="str">
            <v>ON PO</v>
          </cell>
          <cell r="H150" t="str">
            <v>0</v>
          </cell>
          <cell r="I150"/>
        </row>
        <row r="151">
          <cell r="B151" t="str">
            <v>TRU-0310</v>
          </cell>
          <cell r="C151" t="str">
            <v>6 UNITS OF 8X8 ASTRA TRUCKS</v>
          </cell>
          <cell r="D151" t="str">
            <v>04. TRUCK</v>
          </cell>
          <cell r="E151" t="str">
            <v>MALI</v>
          </cell>
          <cell r="F151" t="str">
            <v>BAMAKO</v>
          </cell>
          <cell r="G151" t="str">
            <v>ON PO</v>
          </cell>
          <cell r="H151" t="str">
            <v>0</v>
          </cell>
          <cell r="I151"/>
        </row>
        <row r="152">
          <cell r="B152" t="str">
            <v>TRU-0311</v>
          </cell>
          <cell r="C152" t="str">
            <v>6 UNITS OF 8X8 ASTRA TRUCKS</v>
          </cell>
          <cell r="D152" t="str">
            <v>04. TRUCK</v>
          </cell>
          <cell r="E152" t="str">
            <v>MALI</v>
          </cell>
          <cell r="F152" t="str">
            <v>BAMAKO</v>
          </cell>
          <cell r="G152" t="str">
            <v>ON PO</v>
          </cell>
          <cell r="H152" t="str">
            <v>0</v>
          </cell>
          <cell r="I152"/>
        </row>
        <row r="153">
          <cell r="B153" t="str">
            <v>TRU-0312</v>
          </cell>
          <cell r="C153" t="str">
            <v>6 UNITS OF 8X8 ASTRA TRUCKS</v>
          </cell>
          <cell r="D153" t="str">
            <v>04. TRUCK</v>
          </cell>
          <cell r="E153" t="str">
            <v>MALI</v>
          </cell>
          <cell r="F153" t="str">
            <v>BAMAKO</v>
          </cell>
          <cell r="G153" t="str">
            <v>ON PO</v>
          </cell>
          <cell r="H153" t="str">
            <v>0</v>
          </cell>
          <cell r="I153"/>
        </row>
        <row r="154">
          <cell r="B154" t="str">
            <v>TRU-0313</v>
          </cell>
          <cell r="C154" t="str">
            <v>6 UNITS OF 8X8 ASTRA TRUCKS</v>
          </cell>
          <cell r="D154" t="str">
            <v>04. TRUCK</v>
          </cell>
          <cell r="E154" t="str">
            <v>MALI</v>
          </cell>
          <cell r="F154" t="str">
            <v>BAMAKO</v>
          </cell>
          <cell r="G154" t="str">
            <v>ON PO</v>
          </cell>
          <cell r="H154" t="str">
            <v>0</v>
          </cell>
          <cell r="I154"/>
        </row>
        <row r="155">
          <cell r="B155" t="str">
            <v>TRU-0314</v>
          </cell>
          <cell r="C155" t="str">
            <v>1 UNITS OF 6X6 ASTRA TRUCK</v>
          </cell>
          <cell r="D155" t="str">
            <v>04. TRUCK</v>
          </cell>
          <cell r="E155" t="str">
            <v>MALI</v>
          </cell>
          <cell r="F155" t="str">
            <v>BAMAKO</v>
          </cell>
          <cell r="G155" t="str">
            <v>ON PO</v>
          </cell>
          <cell r="H155" t="str">
            <v>0</v>
          </cell>
          <cell r="I155"/>
        </row>
        <row r="156">
          <cell r="B156" t="str">
            <v>TRU-0315</v>
          </cell>
          <cell r="C156" t="str">
            <v>3 UNITS OF MAROOKA TRUCKS</v>
          </cell>
          <cell r="D156" t="str">
            <v>04. TRUCK</v>
          </cell>
          <cell r="E156" t="str">
            <v>MALI</v>
          </cell>
          <cell r="F156" t="str">
            <v>BAMAKO</v>
          </cell>
          <cell r="G156" t="str">
            <v>WAITING PO</v>
          </cell>
          <cell r="H156" t="str">
            <v>0</v>
          </cell>
          <cell r="I156"/>
        </row>
        <row r="157">
          <cell r="B157" t="str">
            <v>TRU-0316</v>
          </cell>
          <cell r="C157" t="str">
            <v>3 UNITS OF MAROOKA TRUCKS</v>
          </cell>
          <cell r="D157" t="str">
            <v>04. TRUCK</v>
          </cell>
          <cell r="E157" t="str">
            <v>MALI</v>
          </cell>
          <cell r="F157" t="str">
            <v>BAMAKO</v>
          </cell>
          <cell r="G157" t="str">
            <v>WAITING PO</v>
          </cell>
          <cell r="H157" t="str">
            <v>0</v>
          </cell>
          <cell r="I157"/>
        </row>
        <row r="158">
          <cell r="B158" t="str">
            <v>TRU-0317</v>
          </cell>
          <cell r="C158" t="str">
            <v>3 UNITS OF MAROOKA TRUCKS</v>
          </cell>
          <cell r="D158" t="str">
            <v>04. TRUCK</v>
          </cell>
          <cell r="E158" t="str">
            <v>MALI</v>
          </cell>
          <cell r="F158" t="str">
            <v>BAMAKO</v>
          </cell>
          <cell r="G158" t="str">
            <v>WAITING PO</v>
          </cell>
          <cell r="H158" t="str">
            <v>0</v>
          </cell>
          <cell r="I158"/>
        </row>
        <row r="159">
          <cell r="B159" t="str">
            <v>TRU-0318</v>
          </cell>
          <cell r="C159" t="str">
            <v>2 UNITS OF 6*4 ECOWAS TRUCKS</v>
          </cell>
          <cell r="D159" t="str">
            <v>04. TRUCK</v>
          </cell>
          <cell r="E159" t="str">
            <v>MALI</v>
          </cell>
          <cell r="F159" t="str">
            <v>BAMAKO</v>
          </cell>
          <cell r="G159" t="str">
            <v>ON PO</v>
          </cell>
          <cell r="H159" t="str">
            <v>0</v>
          </cell>
          <cell r="I159"/>
        </row>
        <row r="160">
          <cell r="B160" t="str">
            <v>TRU-0319</v>
          </cell>
          <cell r="C160" t="str">
            <v>2 UNITS OF 6*4 ECOWAS TRUCKS</v>
          </cell>
          <cell r="D160" t="str">
            <v>04. TRUCK</v>
          </cell>
          <cell r="E160" t="str">
            <v>MALI</v>
          </cell>
          <cell r="F160" t="str">
            <v>BAMAKO</v>
          </cell>
          <cell r="G160" t="str">
            <v>ON PO</v>
          </cell>
          <cell r="H160" t="str">
            <v>0</v>
          </cell>
          <cell r="I160"/>
        </row>
        <row r="161">
          <cell r="B161" t="str">
            <v>TRU-0117</v>
          </cell>
          <cell r="C161" t="str">
            <v>MOROOKA MST - 1500</v>
          </cell>
          <cell r="D161" t="str">
            <v>04. TRUCK</v>
          </cell>
          <cell r="E161" t="str">
            <v>MALI</v>
          </cell>
          <cell r="F161" t="str">
            <v>FIREFINCH</v>
          </cell>
          <cell r="G161" t="str">
            <v>GOOD CONDITION</v>
          </cell>
          <cell r="H161" t="str">
            <v>1</v>
          </cell>
          <cell r="I161"/>
        </row>
        <row r="162">
          <cell r="B162" t="str">
            <v>TRU-0186</v>
          </cell>
          <cell r="C162" t="str">
            <v>MERCEDEZ  ACTROS 4144 K 8X4/4 4500-KAUFMANN S.A. (RIG 99)</v>
          </cell>
          <cell r="D162" t="str">
            <v>04. TRUCK</v>
          </cell>
          <cell r="E162" t="str">
            <v>MALI</v>
          </cell>
          <cell r="F162" t="str">
            <v>FIREFINCH</v>
          </cell>
          <cell r="G162" t="str">
            <v>GOOD CONDITION</v>
          </cell>
          <cell r="H162" t="str">
            <v>1</v>
          </cell>
          <cell r="I162"/>
        </row>
        <row r="163">
          <cell r="B163" t="str">
            <v>TRU-0237</v>
          </cell>
          <cell r="C163" t="str">
            <v>MERCBENZ ACTROS 332A 6X6 (WO REINFORCEDFRONTAXLE+ HOOKLIFT</v>
          </cell>
          <cell r="D163" t="str">
            <v>04. TRUCK</v>
          </cell>
          <cell r="E163" t="str">
            <v>MALI</v>
          </cell>
          <cell r="F163" t="str">
            <v>FIREFINCH</v>
          </cell>
          <cell r="G163" t="str">
            <v>GOOD CONDITION</v>
          </cell>
          <cell r="H163" t="str">
            <v>1</v>
          </cell>
          <cell r="I163"/>
        </row>
        <row r="164">
          <cell r="B164" t="str">
            <v>TRU-0255</v>
          </cell>
          <cell r="C164" t="str">
            <v>ASTRA HD9 420HP 6X6HD CHASSIS CW 6.5MTR DROPSIDE</v>
          </cell>
          <cell r="D164" t="str">
            <v>04. TRUCK</v>
          </cell>
          <cell r="E164" t="str">
            <v>MALI</v>
          </cell>
          <cell r="F164" t="str">
            <v>FIREFINCH</v>
          </cell>
          <cell r="G164" t="str">
            <v>GOOD CONDITION</v>
          </cell>
          <cell r="H164" t="str">
            <v>1</v>
          </cell>
          <cell r="I164"/>
        </row>
        <row r="165">
          <cell r="B165" t="str">
            <v>TRU-0257</v>
          </cell>
          <cell r="C165" t="str">
            <v>ASSET-IVECO TRUCK - 6X6 - EURO 3, IV4127</v>
          </cell>
          <cell r="D165" t="str">
            <v>04. TRUCK</v>
          </cell>
          <cell r="E165" t="str">
            <v>MALI</v>
          </cell>
          <cell r="F165" t="str">
            <v>FIREFINCH</v>
          </cell>
          <cell r="G165" t="str">
            <v>GOOD CONDITION</v>
          </cell>
          <cell r="H165" t="str">
            <v>1</v>
          </cell>
          <cell r="I165"/>
        </row>
        <row r="166">
          <cell r="B166" t="str">
            <v>TRU-0272</v>
          </cell>
          <cell r="C166" t="str">
            <v>ASTRA HD9 420HP 6X6 TRUCK C/W CRANE, TWIST LOCK &amp; RDT TRAY</v>
          </cell>
          <cell r="D166" t="str">
            <v>04. TRUCK</v>
          </cell>
          <cell r="E166" t="str">
            <v>MALI</v>
          </cell>
          <cell r="F166" t="str">
            <v>FIREFINCH</v>
          </cell>
          <cell r="G166" t="str">
            <v>GOOD CONDITION</v>
          </cell>
          <cell r="H166" t="str">
            <v>1</v>
          </cell>
          <cell r="I166"/>
        </row>
        <row r="167">
          <cell r="B167" t="str">
            <v>TRU-0291</v>
          </cell>
          <cell r="C167" t="str">
            <v>TRU-0291 EX TRU 0196 MITSUBISHI LD1000 2002 CARRIER OF RIG66</v>
          </cell>
          <cell r="D167" t="str">
            <v>04. TRUCK</v>
          </cell>
          <cell r="E167" t="str">
            <v>MALI</v>
          </cell>
          <cell r="F167" t="str">
            <v>FIREFINCH</v>
          </cell>
          <cell r="G167" t="str">
            <v>GOOD CONDITION</v>
          </cell>
          <cell r="H167" t="str">
            <v>1</v>
          </cell>
          <cell r="I167"/>
        </row>
        <row r="168">
          <cell r="B168" t="str">
            <v>TRU-0307</v>
          </cell>
          <cell r="C168" t="str">
            <v>ASTRA HD9 440HP 6X6 HD TRACTOR DAY CAB:</v>
          </cell>
          <cell r="D168" t="str">
            <v>04. TRUCK</v>
          </cell>
          <cell r="E168" t="str">
            <v>MALI</v>
          </cell>
          <cell r="F168" t="str">
            <v>FIREFINCH</v>
          </cell>
          <cell r="G168" t="str">
            <v>ON PO</v>
          </cell>
          <cell r="H168" t="str">
            <v>0</v>
          </cell>
          <cell r="I168"/>
        </row>
        <row r="169">
          <cell r="B169" t="str">
            <v>TRU-0116</v>
          </cell>
          <cell r="C169" t="str">
            <v>BEIBEN TRUCK</v>
          </cell>
          <cell r="D169" t="str">
            <v>04. TRUCK</v>
          </cell>
          <cell r="E169" t="str">
            <v>MALI</v>
          </cell>
          <cell r="F169" t="str">
            <v>GUNIEA-PDI</v>
          </cell>
          <cell r="G169" t="str">
            <v>TRANSFER</v>
          </cell>
          <cell r="H169" t="str">
            <v>0</v>
          </cell>
          <cell r="I169"/>
        </row>
        <row r="170">
          <cell r="B170" t="str">
            <v>TRU-0263</v>
          </cell>
          <cell r="C170" t="str">
            <v>ASTRA HD9 420HP 6X6 HD CHASSIS FLATED WITH TWISTL</v>
          </cell>
          <cell r="D170" t="str">
            <v>04. TRUCK</v>
          </cell>
          <cell r="E170" t="str">
            <v>MALI</v>
          </cell>
          <cell r="F170" t="str">
            <v>MALI-HUMMINGBIRD</v>
          </cell>
          <cell r="G170" t="str">
            <v>GOOD CONDITION</v>
          </cell>
          <cell r="H170" t="str">
            <v>1</v>
          </cell>
          <cell r="I170"/>
        </row>
        <row r="171">
          <cell r="B171" t="str">
            <v>TRU-0270</v>
          </cell>
          <cell r="C171" t="str">
            <v>ASTRA HD9 420HP 6X6 HD9 WITH HIAB XR21Z59</v>
          </cell>
          <cell r="D171" t="str">
            <v>04. TRUCK</v>
          </cell>
          <cell r="E171" t="str">
            <v>MALI</v>
          </cell>
          <cell r="F171" t="str">
            <v>MALI-HUMMINGBIRD</v>
          </cell>
          <cell r="G171" t="str">
            <v>GOOD CONDITION</v>
          </cell>
          <cell r="H171" t="str">
            <v>1</v>
          </cell>
          <cell r="I171"/>
        </row>
        <row r="172">
          <cell r="B172" t="str">
            <v>TRU-0172</v>
          </cell>
          <cell r="C172" t="str">
            <v>MOROOKA MST 1500V</v>
          </cell>
          <cell r="D172" t="str">
            <v>04. TRUCK</v>
          </cell>
          <cell r="E172" t="str">
            <v>MALI</v>
          </cell>
          <cell r="F172" t="str">
            <v>SYAMA</v>
          </cell>
          <cell r="G172" t="str">
            <v>GOOD CONDITION</v>
          </cell>
          <cell r="H172" t="str">
            <v>1</v>
          </cell>
          <cell r="I172"/>
        </row>
        <row r="173">
          <cell r="B173" t="str">
            <v>TRU-0183</v>
          </cell>
          <cell r="C173" t="str">
            <v>CASE CXT LOADER - UNDERGROUND 2010</v>
          </cell>
          <cell r="D173" t="str">
            <v>04. TRUCK</v>
          </cell>
          <cell r="E173" t="str">
            <v>MALI</v>
          </cell>
          <cell r="F173" t="str">
            <v>SYAMA</v>
          </cell>
          <cell r="G173" t="str">
            <v>GOOD CONDITION</v>
          </cell>
          <cell r="H173" t="str">
            <v>1</v>
          </cell>
          <cell r="I173"/>
        </row>
        <row r="174">
          <cell r="B174" t="str">
            <v>TRU-0189</v>
          </cell>
          <cell r="C174" t="str">
            <v>MERCEDES TRUCK (RIG-0216)</v>
          </cell>
          <cell r="D174" t="str">
            <v>04. TRUCK</v>
          </cell>
          <cell r="E174" t="str">
            <v>MALI</v>
          </cell>
          <cell r="F174" t="str">
            <v>SYAMA</v>
          </cell>
          <cell r="G174" t="str">
            <v>BAD CONDITION</v>
          </cell>
          <cell r="H174" t="str">
            <v>0</v>
          </cell>
          <cell r="I174"/>
        </row>
        <row r="175">
          <cell r="B175" t="str">
            <v>TRU-0226</v>
          </cell>
          <cell r="C175" t="str">
            <v>RIG-0035 TRUCK (SECOND HAND)</v>
          </cell>
          <cell r="D175" t="str">
            <v>04. TRUCK</v>
          </cell>
          <cell r="E175" t="str">
            <v>MALI</v>
          </cell>
          <cell r="F175" t="str">
            <v>SYAMA</v>
          </cell>
          <cell r="G175" t="str">
            <v>GOOD CONDITION</v>
          </cell>
          <cell r="H175" t="str">
            <v>1</v>
          </cell>
          <cell r="I175"/>
        </row>
        <row r="176">
          <cell r="B176" t="str">
            <v>TRU-0236</v>
          </cell>
          <cell r="C176" t="str">
            <v>MERC-BENZ ACTROS 332A 6X6 C/W REINFORCED WITH HIAB</v>
          </cell>
          <cell r="D176" t="str">
            <v>04. TRUCK</v>
          </cell>
          <cell r="E176" t="str">
            <v>MALI</v>
          </cell>
          <cell r="F176" t="str">
            <v>SYAMA</v>
          </cell>
          <cell r="G176" t="str">
            <v>GOOD CONDITION</v>
          </cell>
          <cell r="H176" t="str">
            <v>1</v>
          </cell>
          <cell r="I176"/>
        </row>
        <row r="177">
          <cell r="B177" t="str">
            <v>TRU-0238</v>
          </cell>
          <cell r="C177" t="str">
            <v>VOLVO FL12 LEFT HAND DRIVE TANKER</v>
          </cell>
          <cell r="D177" t="str">
            <v>04. TRUCK</v>
          </cell>
          <cell r="E177" t="str">
            <v>MALI</v>
          </cell>
          <cell r="F177" t="str">
            <v>SYAMA</v>
          </cell>
          <cell r="G177" t="str">
            <v>GOOD CONDITION</v>
          </cell>
          <cell r="H177" t="str">
            <v>1</v>
          </cell>
          <cell r="I177"/>
        </row>
        <row r="178">
          <cell r="B178" t="str">
            <v>TRU-0246</v>
          </cell>
          <cell r="C178" t="str">
            <v>VOLVO FL12 6X6 LEFT HAND DRIVE TANKER</v>
          </cell>
          <cell r="D178" t="str">
            <v>04. TRUCK</v>
          </cell>
          <cell r="E178" t="str">
            <v>MALI</v>
          </cell>
          <cell r="F178" t="str">
            <v>SYAMA</v>
          </cell>
          <cell r="G178" t="str">
            <v>GOOD CONDITION</v>
          </cell>
          <cell r="H178" t="str">
            <v>1</v>
          </cell>
          <cell r="I178"/>
        </row>
        <row r="179">
          <cell r="B179" t="str">
            <v>TRU-0264</v>
          </cell>
          <cell r="C179" t="str">
            <v>ASTRA HD9 420HP 6X6 HD CHASSIS C/W 6.5METRE DROPS</v>
          </cell>
          <cell r="D179" t="str">
            <v>04. TRUCK</v>
          </cell>
          <cell r="E179" t="str">
            <v>MALI</v>
          </cell>
          <cell r="F179" t="str">
            <v>SYAMA</v>
          </cell>
          <cell r="G179" t="str">
            <v>GOOD CONDITION</v>
          </cell>
          <cell r="H179" t="str">
            <v>1</v>
          </cell>
          <cell r="I179"/>
        </row>
        <row r="180">
          <cell r="B180" t="str">
            <v>WEL-0046</v>
          </cell>
          <cell r="C180" t="str">
            <v>TRAIL BLAZER 325</v>
          </cell>
          <cell r="D180" t="str">
            <v>09. WELDING</v>
          </cell>
          <cell r="E180" t="str">
            <v>BURKINA FASO</v>
          </cell>
          <cell r="F180" t="str">
            <v>ARROW</v>
          </cell>
          <cell r="G180" t="str">
            <v>GOOD CONDITION</v>
          </cell>
          <cell r="H180" t="str">
            <v>1</v>
          </cell>
          <cell r="I180"/>
        </row>
        <row r="181">
          <cell r="B181" t="str">
            <v>WEL-0048</v>
          </cell>
          <cell r="C181" t="str">
            <v>500 AMP AIR VANTAGE WELDERS</v>
          </cell>
          <cell r="D181" t="str">
            <v>09. WELDING</v>
          </cell>
          <cell r="E181" t="str">
            <v>MALI</v>
          </cell>
          <cell r="F181" t="str">
            <v>BAMAKO</v>
          </cell>
          <cell r="G181" t="str">
            <v>TRANSFER</v>
          </cell>
          <cell r="H181" t="str">
            <v>0</v>
          </cell>
          <cell r="I181"/>
        </row>
        <row r="182">
          <cell r="B182" t="str">
            <v>WEL-0032</v>
          </cell>
          <cell r="C182" t="str">
            <v>MILLER TRAILBLAZER 302</v>
          </cell>
          <cell r="D182" t="str">
            <v>09. WELDING</v>
          </cell>
          <cell r="E182" t="str">
            <v>MALI</v>
          </cell>
          <cell r="F182" t="str">
            <v>MALI-HUMMINGBIRD</v>
          </cell>
          <cell r="G182" t="str">
            <v>GOOD CONDITION</v>
          </cell>
          <cell r="H182" t="str">
            <v>1</v>
          </cell>
          <cell r="I182"/>
        </row>
        <row r="183">
          <cell r="B183" t="str">
            <v>WEL-0045</v>
          </cell>
          <cell r="C183" t="str">
            <v>ASSET-WELDER, MILLER BOBCAT 250-DIESEL</v>
          </cell>
          <cell r="D183" t="str">
            <v>09. WELDING</v>
          </cell>
          <cell r="E183" t="str">
            <v>MALI</v>
          </cell>
          <cell r="F183" t="str">
            <v>MALI-HUMMINGBIRD</v>
          </cell>
          <cell r="G183" t="str">
            <v>GOOD CONDITION</v>
          </cell>
          <cell r="H183" t="str">
            <v>1</v>
          </cell>
          <cell r="I183"/>
        </row>
        <row r="184">
          <cell r="B184" t="str">
            <v>WEL-0029</v>
          </cell>
          <cell r="C184" t="str">
            <v>MILLER BOBCAT 250 WELDER WITH GFCI</v>
          </cell>
          <cell r="D184" t="str">
            <v>09. WELDING</v>
          </cell>
          <cell r="E184" t="str">
            <v>MALI</v>
          </cell>
          <cell r="F184" t="str">
            <v>SYAMA</v>
          </cell>
          <cell r="G184" t="str">
            <v>GOOD CONDITION</v>
          </cell>
          <cell r="H184" t="str">
            <v>1</v>
          </cell>
          <cell r="I184"/>
        </row>
        <row r="185">
          <cell r="B185"/>
          <cell r="C185"/>
          <cell r="D185"/>
          <cell r="E185"/>
          <cell r="F185"/>
          <cell r="G185"/>
          <cell r="H185"/>
          <cell r="I185"/>
        </row>
        <row r="186">
          <cell r="B186"/>
          <cell r="C186"/>
          <cell r="D186"/>
          <cell r="E186"/>
          <cell r="F186"/>
          <cell r="G186"/>
          <cell r="H186"/>
          <cell r="I186"/>
        </row>
        <row r="187">
          <cell r="B187"/>
          <cell r="C187"/>
          <cell r="D187"/>
          <cell r="E187"/>
          <cell r="F187"/>
          <cell r="G187"/>
          <cell r="H187"/>
          <cell r="I187"/>
        </row>
        <row r="188">
          <cell r="B188"/>
          <cell r="C188"/>
          <cell r="D188"/>
          <cell r="E188"/>
          <cell r="F188"/>
          <cell r="G188"/>
          <cell r="H188"/>
          <cell r="I188"/>
        </row>
        <row r="189">
          <cell r="B189"/>
          <cell r="C189"/>
          <cell r="D189"/>
          <cell r="E189"/>
          <cell r="F189"/>
          <cell r="G189"/>
          <cell r="H189"/>
          <cell r="I189"/>
        </row>
        <row r="190">
          <cell r="B190"/>
          <cell r="C190"/>
          <cell r="D190"/>
          <cell r="E190"/>
          <cell r="F190"/>
          <cell r="G190"/>
          <cell r="H190"/>
          <cell r="I190"/>
        </row>
        <row r="191">
          <cell r="B191"/>
          <cell r="C191"/>
          <cell r="D191"/>
          <cell r="E191"/>
          <cell r="F191"/>
          <cell r="G191"/>
          <cell r="H191"/>
          <cell r="I191"/>
        </row>
        <row r="192">
          <cell r="B192"/>
          <cell r="C192"/>
          <cell r="D192"/>
          <cell r="E192"/>
          <cell r="F192"/>
          <cell r="G192"/>
          <cell r="H192"/>
          <cell r="I192"/>
        </row>
        <row r="193">
          <cell r="B193"/>
          <cell r="C193"/>
          <cell r="D193"/>
          <cell r="E193"/>
          <cell r="F193"/>
          <cell r="G193"/>
          <cell r="H193"/>
          <cell r="I193"/>
        </row>
        <row r="194">
          <cell r="B194"/>
          <cell r="C194"/>
          <cell r="D194"/>
          <cell r="E194"/>
          <cell r="F194"/>
          <cell r="G194"/>
          <cell r="H194"/>
          <cell r="I194"/>
        </row>
        <row r="195">
          <cell r="B195"/>
          <cell r="C195"/>
          <cell r="D195"/>
          <cell r="E195"/>
          <cell r="F195"/>
          <cell r="G195"/>
          <cell r="H195"/>
          <cell r="I195"/>
        </row>
        <row r="196">
          <cell r="B196"/>
          <cell r="C196"/>
          <cell r="D196"/>
          <cell r="E196"/>
          <cell r="F196"/>
          <cell r="G196"/>
          <cell r="H196"/>
          <cell r="I196"/>
        </row>
        <row r="197">
          <cell r="B197"/>
          <cell r="C197"/>
          <cell r="D197"/>
          <cell r="E197"/>
          <cell r="F197"/>
          <cell r="G197"/>
          <cell r="H197"/>
          <cell r="I197"/>
        </row>
        <row r="198">
          <cell r="B198"/>
          <cell r="C198"/>
          <cell r="D198"/>
          <cell r="E198"/>
          <cell r="F198"/>
          <cell r="G198"/>
          <cell r="H198"/>
          <cell r="I198"/>
        </row>
        <row r="199">
          <cell r="B199"/>
          <cell r="C199"/>
          <cell r="D199"/>
          <cell r="E199"/>
          <cell r="F199"/>
          <cell r="G199"/>
          <cell r="H199"/>
          <cell r="I199"/>
        </row>
      </sheetData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C"/>
      <sheetName val="Data"/>
      <sheetName val="Sheet1"/>
      <sheetName val="Sheet2"/>
      <sheetName val="BudgetVsActual"/>
      <sheetName val="Sheet3"/>
      <sheetName val="DCC-Project Penjom"/>
    </sheetNames>
    <sheetDataSet>
      <sheetData sheetId="0" refreshError="1"/>
      <sheetData sheetId="1">
        <row r="3">
          <cell r="E3" t="str">
            <v>PERCENTAGE GUIDANCE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vailabilities"/>
      <sheetName val="rig"/>
      <sheetName val="aux"/>
      <sheetName val="Statistic"/>
      <sheetName val="pivot Eplod"/>
      <sheetName val="Sheet2"/>
      <sheetName val="Daily Entry"/>
      <sheetName val="Calculation"/>
      <sheetName val="2026 - Maintenance Machine Hist"/>
      <sheetName val="Sheet1"/>
    </sheetNames>
    <sheetDataSet>
      <sheetData sheetId="0">
        <row r="4">
          <cell r="O4" t="str">
            <v>Day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40">
          <cell r="Q40" t="str">
            <v>All RIGs</v>
          </cell>
          <cell r="AC40" t="str">
            <v>-</v>
          </cell>
        </row>
        <row r="41">
          <cell r="Q41" t="str">
            <v>DD</v>
          </cell>
          <cell r="AC41" t="str">
            <v>-</v>
          </cell>
        </row>
        <row r="42">
          <cell r="Q42" t="str">
            <v>RC/GC</v>
          </cell>
          <cell r="AC42" t="str">
            <v>-</v>
          </cell>
        </row>
        <row r="43">
          <cell r="Q43" t="str">
            <v>BH</v>
          </cell>
          <cell r="AC43" t="str">
            <v>-</v>
          </cell>
        </row>
        <row r="44">
          <cell r="Q44" t="str">
            <v>TBA</v>
          </cell>
          <cell r="AC44" t="str">
            <v>-</v>
          </cell>
        </row>
        <row r="45">
          <cell r="Q45" t="str">
            <v>TBA</v>
          </cell>
          <cell r="AC45" t="str">
            <v>-</v>
          </cell>
        </row>
        <row r="186">
          <cell r="E186" t="e">
            <v>#REF!</v>
          </cell>
          <cell r="F186" t="str">
            <v>-</v>
          </cell>
        </row>
        <row r="187">
          <cell r="E187" t="e">
            <v>#REF!</v>
          </cell>
          <cell r="F187" t="str">
            <v>-</v>
          </cell>
        </row>
        <row r="188">
          <cell r="E188" t="e">
            <v>#REF!</v>
          </cell>
          <cell r="F188" t="str">
            <v>-</v>
          </cell>
        </row>
        <row r="189">
          <cell r="E189" t="str">
            <v>Current</v>
          </cell>
          <cell r="F189" t="str">
            <v>-</v>
          </cell>
        </row>
      </sheetData>
      <sheetData sheetId="8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 Summary"/>
      <sheetName val="Availabilities"/>
      <sheetName val="JOBLOG DATA ENTRY"/>
      <sheetName val="Sheet1"/>
      <sheetName val="rig"/>
      <sheetName val="aux"/>
      <sheetName val="Statistic"/>
      <sheetName val="Asset Location"/>
      <sheetName val="pivot Eplod"/>
      <sheetName val="Eplod-DDR Availability"/>
      <sheetName val="Reference"/>
      <sheetName val="Summary Part"/>
      <sheetName val="Sheet2"/>
      <sheetName val="Daily Entry"/>
      <sheetName val="Calculation"/>
      <sheetName val="2024-Maintenance Machine Histor"/>
    </sheetNames>
    <sheetDataSet>
      <sheetData sheetId="0"/>
      <sheetData sheetId="1">
        <row r="4">
          <cell r="P4" t="str">
            <v>Day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T1">
            <v>44197</v>
          </cell>
          <cell r="U1">
            <v>1</v>
          </cell>
        </row>
        <row r="2">
          <cell r="T2">
            <v>44198</v>
          </cell>
          <cell r="U2">
            <v>1</v>
          </cell>
        </row>
        <row r="3">
          <cell r="T3">
            <v>44199</v>
          </cell>
          <cell r="U3">
            <v>2</v>
          </cell>
        </row>
        <row r="4">
          <cell r="T4">
            <v>44200</v>
          </cell>
          <cell r="U4">
            <v>2</v>
          </cell>
        </row>
        <row r="5">
          <cell r="T5">
            <v>44201</v>
          </cell>
          <cell r="U5">
            <v>2</v>
          </cell>
        </row>
        <row r="6">
          <cell r="T6">
            <v>44202</v>
          </cell>
          <cell r="U6">
            <v>2</v>
          </cell>
        </row>
        <row r="7">
          <cell r="T7">
            <v>44203</v>
          </cell>
          <cell r="U7">
            <v>2</v>
          </cell>
        </row>
        <row r="8">
          <cell r="T8">
            <v>44204</v>
          </cell>
          <cell r="U8">
            <v>2</v>
          </cell>
        </row>
        <row r="9">
          <cell r="T9">
            <v>44205</v>
          </cell>
          <cell r="U9">
            <v>2</v>
          </cell>
        </row>
        <row r="10">
          <cell r="T10">
            <v>44206</v>
          </cell>
          <cell r="U10">
            <v>3</v>
          </cell>
        </row>
        <row r="11">
          <cell r="T11">
            <v>44207</v>
          </cell>
          <cell r="U11">
            <v>3</v>
          </cell>
        </row>
        <row r="12">
          <cell r="T12">
            <v>44208</v>
          </cell>
          <cell r="U12">
            <v>3</v>
          </cell>
        </row>
        <row r="13">
          <cell r="T13">
            <v>44209</v>
          </cell>
          <cell r="U13">
            <v>3</v>
          </cell>
        </row>
        <row r="14">
          <cell r="T14">
            <v>44210</v>
          </cell>
          <cell r="U14">
            <v>3</v>
          </cell>
        </row>
        <row r="15">
          <cell r="T15">
            <v>44211</v>
          </cell>
          <cell r="U15">
            <v>3</v>
          </cell>
        </row>
        <row r="16">
          <cell r="T16">
            <v>44212</v>
          </cell>
          <cell r="U16">
            <v>3</v>
          </cell>
        </row>
        <row r="17">
          <cell r="T17">
            <v>44213</v>
          </cell>
          <cell r="U17">
            <v>4</v>
          </cell>
        </row>
        <row r="18">
          <cell r="T18">
            <v>44214</v>
          </cell>
          <cell r="U18">
            <v>4</v>
          </cell>
        </row>
        <row r="19">
          <cell r="T19">
            <v>44215</v>
          </cell>
          <cell r="U19">
            <v>4</v>
          </cell>
        </row>
        <row r="20">
          <cell r="T20">
            <v>44216</v>
          </cell>
          <cell r="U20">
            <v>4</v>
          </cell>
        </row>
        <row r="21">
          <cell r="T21">
            <v>44217</v>
          </cell>
          <cell r="U21">
            <v>4</v>
          </cell>
        </row>
        <row r="22">
          <cell r="T22">
            <v>44218</v>
          </cell>
          <cell r="U22">
            <v>4</v>
          </cell>
        </row>
        <row r="23">
          <cell r="T23">
            <v>44219</v>
          </cell>
          <cell r="U23">
            <v>4</v>
          </cell>
        </row>
        <row r="24">
          <cell r="T24">
            <v>44220</v>
          </cell>
          <cell r="U24">
            <v>5</v>
          </cell>
        </row>
        <row r="25">
          <cell r="T25">
            <v>44221</v>
          </cell>
          <cell r="U25">
            <v>5</v>
          </cell>
        </row>
        <row r="26">
          <cell r="T26">
            <v>44222</v>
          </cell>
          <cell r="U26">
            <v>5</v>
          </cell>
        </row>
        <row r="27">
          <cell r="T27">
            <v>44223</v>
          </cell>
          <cell r="U27">
            <v>5</v>
          </cell>
        </row>
        <row r="28">
          <cell r="T28">
            <v>44224</v>
          </cell>
          <cell r="U28">
            <v>5</v>
          </cell>
        </row>
        <row r="29">
          <cell r="T29">
            <v>44225</v>
          </cell>
          <cell r="U29">
            <v>5</v>
          </cell>
        </row>
        <row r="30">
          <cell r="T30">
            <v>44226</v>
          </cell>
          <cell r="U30">
            <v>5</v>
          </cell>
        </row>
        <row r="31">
          <cell r="T31">
            <v>44227</v>
          </cell>
          <cell r="U31">
            <v>6</v>
          </cell>
        </row>
        <row r="32">
          <cell r="T32">
            <v>44228</v>
          </cell>
          <cell r="U32">
            <v>6</v>
          </cell>
        </row>
        <row r="33">
          <cell r="T33">
            <v>44229</v>
          </cell>
          <cell r="U33">
            <v>6</v>
          </cell>
        </row>
        <row r="34">
          <cell r="T34">
            <v>44230</v>
          </cell>
          <cell r="U34">
            <v>6</v>
          </cell>
        </row>
        <row r="35">
          <cell r="T35">
            <v>44231</v>
          </cell>
          <cell r="U35">
            <v>6</v>
          </cell>
        </row>
        <row r="36">
          <cell r="T36">
            <v>44232</v>
          </cell>
          <cell r="U36">
            <v>6</v>
          </cell>
        </row>
        <row r="37">
          <cell r="T37">
            <v>44233</v>
          </cell>
          <cell r="U37">
            <v>6</v>
          </cell>
        </row>
        <row r="38">
          <cell r="T38">
            <v>44234</v>
          </cell>
          <cell r="U38">
            <v>7</v>
          </cell>
        </row>
        <row r="39">
          <cell r="T39">
            <v>44235</v>
          </cell>
          <cell r="U39">
            <v>7</v>
          </cell>
        </row>
        <row r="40">
          <cell r="T40">
            <v>44236</v>
          </cell>
          <cell r="U40">
            <v>7</v>
          </cell>
        </row>
        <row r="41">
          <cell r="T41">
            <v>44237</v>
          </cell>
          <cell r="U41">
            <v>7</v>
          </cell>
        </row>
        <row r="42">
          <cell r="T42">
            <v>44238</v>
          </cell>
          <cell r="U42">
            <v>7</v>
          </cell>
        </row>
        <row r="43">
          <cell r="T43">
            <v>44239</v>
          </cell>
          <cell r="U43">
            <v>7</v>
          </cell>
        </row>
        <row r="44">
          <cell r="T44">
            <v>44240</v>
          </cell>
          <cell r="U44">
            <v>7</v>
          </cell>
        </row>
        <row r="45">
          <cell r="T45">
            <v>44241</v>
          </cell>
          <cell r="U45">
            <v>8</v>
          </cell>
        </row>
        <row r="46">
          <cell r="T46">
            <v>44242</v>
          </cell>
          <cell r="U46">
            <v>8</v>
          </cell>
        </row>
        <row r="47">
          <cell r="T47">
            <v>44243</v>
          </cell>
          <cell r="U47">
            <v>8</v>
          </cell>
        </row>
        <row r="48">
          <cell r="T48">
            <v>44244</v>
          </cell>
          <cell r="U48">
            <v>8</v>
          </cell>
        </row>
        <row r="49">
          <cell r="T49">
            <v>44245</v>
          </cell>
          <cell r="U49">
            <v>8</v>
          </cell>
        </row>
        <row r="50">
          <cell r="T50">
            <v>44246</v>
          </cell>
          <cell r="U50">
            <v>8</v>
          </cell>
        </row>
        <row r="51">
          <cell r="T51">
            <v>44247</v>
          </cell>
          <cell r="U51">
            <v>8</v>
          </cell>
        </row>
        <row r="52">
          <cell r="T52">
            <v>44248</v>
          </cell>
          <cell r="U52">
            <v>9</v>
          </cell>
        </row>
        <row r="53">
          <cell r="T53">
            <v>44249</v>
          </cell>
          <cell r="U53">
            <v>9</v>
          </cell>
        </row>
        <row r="54">
          <cell r="T54">
            <v>44250</v>
          </cell>
          <cell r="U54">
            <v>9</v>
          </cell>
        </row>
        <row r="55">
          <cell r="T55">
            <v>44251</v>
          </cell>
          <cell r="U55">
            <v>9</v>
          </cell>
        </row>
        <row r="56">
          <cell r="T56">
            <v>44252</v>
          </cell>
          <cell r="U56">
            <v>9</v>
          </cell>
        </row>
        <row r="57">
          <cell r="T57">
            <v>44253</v>
          </cell>
          <cell r="U57">
            <v>9</v>
          </cell>
        </row>
        <row r="58">
          <cell r="T58">
            <v>44254</v>
          </cell>
          <cell r="U58">
            <v>9</v>
          </cell>
        </row>
        <row r="59">
          <cell r="T59">
            <v>44255</v>
          </cell>
          <cell r="U59">
            <v>10</v>
          </cell>
        </row>
        <row r="60">
          <cell r="T60">
            <v>44256</v>
          </cell>
          <cell r="U60">
            <v>10</v>
          </cell>
        </row>
        <row r="61">
          <cell r="T61">
            <v>44257</v>
          </cell>
          <cell r="U61">
            <v>10</v>
          </cell>
        </row>
        <row r="62">
          <cell r="T62">
            <v>44258</v>
          </cell>
          <cell r="U62">
            <v>10</v>
          </cell>
        </row>
        <row r="63">
          <cell r="T63">
            <v>44259</v>
          </cell>
          <cell r="U63">
            <v>10</v>
          </cell>
        </row>
        <row r="64">
          <cell r="T64">
            <v>44260</v>
          </cell>
          <cell r="U64">
            <v>10</v>
          </cell>
        </row>
        <row r="65">
          <cell r="T65">
            <v>44261</v>
          </cell>
          <cell r="U65">
            <v>10</v>
          </cell>
        </row>
        <row r="66">
          <cell r="T66">
            <v>44262</v>
          </cell>
          <cell r="U66">
            <v>11</v>
          </cell>
        </row>
        <row r="67">
          <cell r="T67">
            <v>44263</v>
          </cell>
          <cell r="U67">
            <v>11</v>
          </cell>
        </row>
        <row r="68">
          <cell r="T68">
            <v>44264</v>
          </cell>
          <cell r="U68">
            <v>11</v>
          </cell>
        </row>
        <row r="69">
          <cell r="T69">
            <v>44265</v>
          </cell>
          <cell r="U69">
            <v>11</v>
          </cell>
        </row>
        <row r="70">
          <cell r="T70">
            <v>44266</v>
          </cell>
          <cell r="U70">
            <v>11</v>
          </cell>
        </row>
        <row r="71">
          <cell r="T71">
            <v>44267</v>
          </cell>
          <cell r="U71">
            <v>11</v>
          </cell>
        </row>
        <row r="72">
          <cell r="T72">
            <v>44268</v>
          </cell>
          <cell r="U72">
            <v>11</v>
          </cell>
        </row>
        <row r="73">
          <cell r="T73">
            <v>44269</v>
          </cell>
          <cell r="U73">
            <v>12</v>
          </cell>
        </row>
        <row r="74">
          <cell r="T74">
            <v>44270</v>
          </cell>
          <cell r="U74">
            <v>12</v>
          </cell>
        </row>
        <row r="75">
          <cell r="T75">
            <v>44271</v>
          </cell>
          <cell r="U75">
            <v>12</v>
          </cell>
        </row>
        <row r="76">
          <cell r="T76">
            <v>44272</v>
          </cell>
          <cell r="U76">
            <v>12</v>
          </cell>
        </row>
        <row r="77">
          <cell r="T77">
            <v>44273</v>
          </cell>
          <cell r="U77">
            <v>12</v>
          </cell>
        </row>
        <row r="78">
          <cell r="T78">
            <v>44274</v>
          </cell>
          <cell r="U78">
            <v>12</v>
          </cell>
        </row>
        <row r="79">
          <cell r="T79">
            <v>44275</v>
          </cell>
          <cell r="U79">
            <v>12</v>
          </cell>
        </row>
        <row r="80">
          <cell r="T80">
            <v>44276</v>
          </cell>
          <cell r="U80">
            <v>13</v>
          </cell>
        </row>
        <row r="81">
          <cell r="T81">
            <v>44277</v>
          </cell>
          <cell r="U81">
            <v>13</v>
          </cell>
        </row>
        <row r="82">
          <cell r="T82">
            <v>44278</v>
          </cell>
          <cell r="U82">
            <v>13</v>
          </cell>
        </row>
        <row r="83">
          <cell r="T83">
            <v>44279</v>
          </cell>
          <cell r="U83">
            <v>13</v>
          </cell>
        </row>
        <row r="84">
          <cell r="T84">
            <v>44280</v>
          </cell>
          <cell r="U84">
            <v>13</v>
          </cell>
        </row>
        <row r="85">
          <cell r="T85">
            <v>44281</v>
          </cell>
          <cell r="U85">
            <v>13</v>
          </cell>
        </row>
        <row r="86">
          <cell r="T86">
            <v>44282</v>
          </cell>
          <cell r="U86">
            <v>13</v>
          </cell>
        </row>
        <row r="87">
          <cell r="T87">
            <v>44283</v>
          </cell>
          <cell r="U87">
            <v>14</v>
          </cell>
        </row>
        <row r="88">
          <cell r="T88">
            <v>44284</v>
          </cell>
          <cell r="U88">
            <v>14</v>
          </cell>
        </row>
        <row r="89">
          <cell r="T89">
            <v>44285</v>
          </cell>
          <cell r="U89">
            <v>14</v>
          </cell>
        </row>
        <row r="90">
          <cell r="T90">
            <v>44286</v>
          </cell>
          <cell r="U90">
            <v>14</v>
          </cell>
        </row>
        <row r="91">
          <cell r="T91">
            <v>44287</v>
          </cell>
          <cell r="U91">
            <v>14</v>
          </cell>
        </row>
        <row r="92">
          <cell r="T92">
            <v>44288</v>
          </cell>
          <cell r="U92">
            <v>14</v>
          </cell>
        </row>
        <row r="93">
          <cell r="T93">
            <v>44289</v>
          </cell>
          <cell r="U93">
            <v>14</v>
          </cell>
        </row>
        <row r="94">
          <cell r="T94">
            <v>44290</v>
          </cell>
          <cell r="U94">
            <v>15</v>
          </cell>
        </row>
        <row r="95">
          <cell r="T95">
            <v>44291</v>
          </cell>
          <cell r="U95">
            <v>15</v>
          </cell>
        </row>
        <row r="96">
          <cell r="T96">
            <v>44292</v>
          </cell>
          <cell r="U96">
            <v>15</v>
          </cell>
        </row>
        <row r="97">
          <cell r="T97">
            <v>44293</v>
          </cell>
          <cell r="U97">
            <v>15</v>
          </cell>
        </row>
        <row r="98">
          <cell r="T98">
            <v>44294</v>
          </cell>
          <cell r="U98">
            <v>15</v>
          </cell>
        </row>
        <row r="99">
          <cell r="T99">
            <v>44295</v>
          </cell>
          <cell r="U99">
            <v>15</v>
          </cell>
        </row>
        <row r="100">
          <cell r="T100">
            <v>44296</v>
          </cell>
          <cell r="U100">
            <v>15</v>
          </cell>
        </row>
        <row r="101">
          <cell r="T101">
            <v>44297</v>
          </cell>
          <cell r="U101">
            <v>16</v>
          </cell>
        </row>
        <row r="102">
          <cell r="T102">
            <v>44298</v>
          </cell>
          <cell r="U102">
            <v>16</v>
          </cell>
        </row>
        <row r="103">
          <cell r="T103">
            <v>44299</v>
          </cell>
          <cell r="U103">
            <v>16</v>
          </cell>
        </row>
        <row r="104">
          <cell r="T104">
            <v>44300</v>
          </cell>
          <cell r="U104">
            <v>16</v>
          </cell>
        </row>
        <row r="105">
          <cell r="T105">
            <v>44301</v>
          </cell>
          <cell r="U105">
            <v>16</v>
          </cell>
        </row>
        <row r="106">
          <cell r="T106">
            <v>44302</v>
          </cell>
          <cell r="U106">
            <v>16</v>
          </cell>
        </row>
        <row r="107">
          <cell r="T107">
            <v>44303</v>
          </cell>
          <cell r="U107">
            <v>16</v>
          </cell>
        </row>
        <row r="108">
          <cell r="T108">
            <v>44304</v>
          </cell>
          <cell r="U108">
            <v>17</v>
          </cell>
        </row>
        <row r="109">
          <cell r="T109">
            <v>44305</v>
          </cell>
          <cell r="U109">
            <v>17</v>
          </cell>
        </row>
        <row r="110">
          <cell r="T110">
            <v>44306</v>
          </cell>
          <cell r="U110">
            <v>17</v>
          </cell>
        </row>
        <row r="111">
          <cell r="T111">
            <v>44307</v>
          </cell>
          <cell r="U111">
            <v>17</v>
          </cell>
        </row>
        <row r="112">
          <cell r="T112">
            <v>44308</v>
          </cell>
          <cell r="U112">
            <v>17</v>
          </cell>
        </row>
        <row r="113">
          <cell r="T113">
            <v>44309</v>
          </cell>
          <cell r="U113">
            <v>17</v>
          </cell>
        </row>
        <row r="114">
          <cell r="T114">
            <v>44310</v>
          </cell>
          <cell r="U114">
            <v>17</v>
          </cell>
        </row>
        <row r="115">
          <cell r="T115">
            <v>44311</v>
          </cell>
          <cell r="U115">
            <v>18</v>
          </cell>
        </row>
        <row r="116">
          <cell r="T116">
            <v>44312</v>
          </cell>
          <cell r="U116">
            <v>18</v>
          </cell>
        </row>
        <row r="117">
          <cell r="T117">
            <v>44313</v>
          </cell>
          <cell r="U117">
            <v>18</v>
          </cell>
        </row>
        <row r="118">
          <cell r="T118">
            <v>44314</v>
          </cell>
          <cell r="U118">
            <v>18</v>
          </cell>
        </row>
        <row r="119">
          <cell r="T119">
            <v>44315</v>
          </cell>
          <cell r="U119">
            <v>18</v>
          </cell>
        </row>
        <row r="120">
          <cell r="T120">
            <v>44316</v>
          </cell>
          <cell r="U120">
            <v>18</v>
          </cell>
        </row>
        <row r="121">
          <cell r="T121">
            <v>44317</v>
          </cell>
          <cell r="U121">
            <v>18</v>
          </cell>
        </row>
        <row r="122">
          <cell r="T122">
            <v>44318</v>
          </cell>
          <cell r="U122">
            <v>19</v>
          </cell>
        </row>
        <row r="123">
          <cell r="T123">
            <v>44319</v>
          </cell>
          <cell r="U123">
            <v>19</v>
          </cell>
        </row>
        <row r="124">
          <cell r="T124">
            <v>44320</v>
          </cell>
          <cell r="U124">
            <v>19</v>
          </cell>
        </row>
        <row r="125">
          <cell r="T125">
            <v>44321</v>
          </cell>
          <cell r="U125">
            <v>19</v>
          </cell>
        </row>
        <row r="126">
          <cell r="T126">
            <v>44322</v>
          </cell>
          <cell r="U126">
            <v>19</v>
          </cell>
        </row>
        <row r="127">
          <cell r="T127">
            <v>44323</v>
          </cell>
          <cell r="U127">
            <v>19</v>
          </cell>
        </row>
        <row r="128">
          <cell r="T128">
            <v>44324</v>
          </cell>
          <cell r="U128">
            <v>19</v>
          </cell>
        </row>
        <row r="129">
          <cell r="T129">
            <v>44325</v>
          </cell>
          <cell r="U129">
            <v>20</v>
          </cell>
        </row>
        <row r="130">
          <cell r="T130">
            <v>44326</v>
          </cell>
          <cell r="U130">
            <v>20</v>
          </cell>
        </row>
        <row r="131">
          <cell r="T131">
            <v>44327</v>
          </cell>
          <cell r="U131">
            <v>20</v>
          </cell>
        </row>
        <row r="132">
          <cell r="T132">
            <v>44328</v>
          </cell>
          <cell r="U132">
            <v>20</v>
          </cell>
        </row>
        <row r="133">
          <cell r="T133">
            <v>44329</v>
          </cell>
          <cell r="U133">
            <v>20</v>
          </cell>
        </row>
        <row r="134">
          <cell r="T134">
            <v>44330</v>
          </cell>
          <cell r="U134">
            <v>20</v>
          </cell>
        </row>
        <row r="135">
          <cell r="T135">
            <v>44331</v>
          </cell>
          <cell r="U135">
            <v>20</v>
          </cell>
        </row>
        <row r="136">
          <cell r="T136">
            <v>44332</v>
          </cell>
          <cell r="U136">
            <v>21</v>
          </cell>
        </row>
        <row r="137">
          <cell r="T137">
            <v>44333</v>
          </cell>
          <cell r="U137">
            <v>21</v>
          </cell>
        </row>
        <row r="138">
          <cell r="T138">
            <v>44334</v>
          </cell>
          <cell r="U138">
            <v>21</v>
          </cell>
        </row>
        <row r="139">
          <cell r="T139">
            <v>44335</v>
          </cell>
          <cell r="U139">
            <v>21</v>
          </cell>
        </row>
        <row r="140">
          <cell r="T140">
            <v>44336</v>
          </cell>
          <cell r="U140">
            <v>21</v>
          </cell>
        </row>
        <row r="141">
          <cell r="T141">
            <v>44337</v>
          </cell>
          <cell r="U141">
            <v>21</v>
          </cell>
        </row>
        <row r="142">
          <cell r="T142">
            <v>44338</v>
          </cell>
          <cell r="U142">
            <v>21</v>
          </cell>
        </row>
        <row r="143">
          <cell r="T143">
            <v>44339</v>
          </cell>
          <cell r="U143">
            <v>22</v>
          </cell>
        </row>
        <row r="144">
          <cell r="T144">
            <v>44340</v>
          </cell>
          <cell r="U144">
            <v>22</v>
          </cell>
        </row>
        <row r="145">
          <cell r="T145">
            <v>44341</v>
          </cell>
          <cell r="U145">
            <v>22</v>
          </cell>
        </row>
        <row r="146">
          <cell r="T146">
            <v>44342</v>
          </cell>
          <cell r="U146">
            <v>22</v>
          </cell>
        </row>
        <row r="147">
          <cell r="T147">
            <v>44343</v>
          </cell>
          <cell r="U147">
            <v>22</v>
          </cell>
        </row>
        <row r="148">
          <cell r="T148">
            <v>44344</v>
          </cell>
          <cell r="U148">
            <v>22</v>
          </cell>
        </row>
        <row r="149">
          <cell r="T149">
            <v>44345</v>
          </cell>
          <cell r="U149">
            <v>22</v>
          </cell>
        </row>
        <row r="150">
          <cell r="T150">
            <v>44346</v>
          </cell>
          <cell r="U150">
            <v>23</v>
          </cell>
        </row>
        <row r="151">
          <cell r="T151">
            <v>44347</v>
          </cell>
          <cell r="U151">
            <v>23</v>
          </cell>
        </row>
        <row r="152">
          <cell r="T152">
            <v>44348</v>
          </cell>
          <cell r="U152">
            <v>23</v>
          </cell>
        </row>
        <row r="153">
          <cell r="T153">
            <v>44349</v>
          </cell>
          <cell r="U153">
            <v>23</v>
          </cell>
        </row>
        <row r="154">
          <cell r="T154">
            <v>44350</v>
          </cell>
          <cell r="U154">
            <v>23</v>
          </cell>
        </row>
        <row r="155">
          <cell r="T155">
            <v>44351</v>
          </cell>
          <cell r="U155">
            <v>23</v>
          </cell>
        </row>
        <row r="156">
          <cell r="T156">
            <v>44352</v>
          </cell>
          <cell r="U156">
            <v>23</v>
          </cell>
        </row>
        <row r="157">
          <cell r="T157">
            <v>44353</v>
          </cell>
          <cell r="U157">
            <v>24</v>
          </cell>
        </row>
        <row r="158">
          <cell r="T158">
            <v>44354</v>
          </cell>
          <cell r="U158">
            <v>24</v>
          </cell>
        </row>
        <row r="159">
          <cell r="T159">
            <v>44355</v>
          </cell>
          <cell r="U159">
            <v>24</v>
          </cell>
        </row>
        <row r="160">
          <cell r="T160">
            <v>44356</v>
          </cell>
          <cell r="U160">
            <v>24</v>
          </cell>
        </row>
        <row r="161">
          <cell r="T161">
            <v>44357</v>
          </cell>
          <cell r="U161">
            <v>24</v>
          </cell>
        </row>
        <row r="162">
          <cell r="T162">
            <v>44358</v>
          </cell>
          <cell r="U162">
            <v>24</v>
          </cell>
        </row>
        <row r="163">
          <cell r="T163">
            <v>44359</v>
          </cell>
          <cell r="U163">
            <v>24</v>
          </cell>
        </row>
        <row r="164">
          <cell r="T164">
            <v>44360</v>
          </cell>
          <cell r="U164">
            <v>25</v>
          </cell>
        </row>
        <row r="165">
          <cell r="T165">
            <v>44361</v>
          </cell>
          <cell r="U165">
            <v>25</v>
          </cell>
        </row>
        <row r="166">
          <cell r="T166">
            <v>44362</v>
          </cell>
          <cell r="U166">
            <v>25</v>
          </cell>
        </row>
        <row r="167">
          <cell r="T167">
            <v>44363</v>
          </cell>
          <cell r="U167">
            <v>25</v>
          </cell>
        </row>
        <row r="168">
          <cell r="T168">
            <v>44364</v>
          </cell>
          <cell r="U168">
            <v>25</v>
          </cell>
        </row>
        <row r="169">
          <cell r="T169">
            <v>44365</v>
          </cell>
          <cell r="U169">
            <v>25</v>
          </cell>
        </row>
        <row r="170">
          <cell r="T170">
            <v>44366</v>
          </cell>
          <cell r="U170">
            <v>25</v>
          </cell>
        </row>
        <row r="171">
          <cell r="T171">
            <v>44367</v>
          </cell>
          <cell r="U171">
            <v>26</v>
          </cell>
        </row>
        <row r="172">
          <cell r="T172">
            <v>44368</v>
          </cell>
          <cell r="U172">
            <v>26</v>
          </cell>
        </row>
        <row r="173">
          <cell r="T173">
            <v>44369</v>
          </cell>
          <cell r="U173">
            <v>26</v>
          </cell>
        </row>
        <row r="174">
          <cell r="T174">
            <v>44370</v>
          </cell>
          <cell r="U174">
            <v>26</v>
          </cell>
        </row>
        <row r="175">
          <cell r="T175">
            <v>44371</v>
          </cell>
          <cell r="U175">
            <v>26</v>
          </cell>
        </row>
        <row r="176">
          <cell r="T176">
            <v>44372</v>
          </cell>
          <cell r="U176">
            <v>26</v>
          </cell>
        </row>
        <row r="177">
          <cell r="T177">
            <v>44373</v>
          </cell>
          <cell r="U177">
            <v>26</v>
          </cell>
        </row>
        <row r="178">
          <cell r="T178">
            <v>44374</v>
          </cell>
          <cell r="U178">
            <v>27</v>
          </cell>
        </row>
        <row r="179">
          <cell r="T179">
            <v>44375</v>
          </cell>
          <cell r="U179">
            <v>27</v>
          </cell>
        </row>
        <row r="180">
          <cell r="T180">
            <v>44376</v>
          </cell>
          <cell r="U180">
            <v>27</v>
          </cell>
        </row>
        <row r="181">
          <cell r="T181">
            <v>44377</v>
          </cell>
          <cell r="U181">
            <v>27</v>
          </cell>
        </row>
        <row r="182">
          <cell r="T182">
            <v>44378</v>
          </cell>
          <cell r="U182">
            <v>27</v>
          </cell>
        </row>
        <row r="183">
          <cell r="T183">
            <v>44379</v>
          </cell>
          <cell r="U183">
            <v>27</v>
          </cell>
        </row>
        <row r="184">
          <cell r="T184">
            <v>44380</v>
          </cell>
          <cell r="U184">
            <v>27</v>
          </cell>
        </row>
        <row r="185">
          <cell r="T185">
            <v>44381</v>
          </cell>
          <cell r="U185">
            <v>28</v>
          </cell>
        </row>
        <row r="186">
          <cell r="T186">
            <v>44382</v>
          </cell>
          <cell r="U186">
            <v>28</v>
          </cell>
        </row>
        <row r="187">
          <cell r="T187">
            <v>44383</v>
          </cell>
          <cell r="U187">
            <v>28</v>
          </cell>
        </row>
        <row r="188">
          <cell r="T188">
            <v>44384</v>
          </cell>
          <cell r="U188">
            <v>28</v>
          </cell>
        </row>
        <row r="189">
          <cell r="T189">
            <v>44385</v>
          </cell>
          <cell r="U189">
            <v>28</v>
          </cell>
        </row>
        <row r="190">
          <cell r="T190">
            <v>44386</v>
          </cell>
          <cell r="U190">
            <v>28</v>
          </cell>
        </row>
        <row r="191">
          <cell r="T191">
            <v>44387</v>
          </cell>
          <cell r="U191">
            <v>28</v>
          </cell>
        </row>
        <row r="192">
          <cell r="T192">
            <v>44388</v>
          </cell>
          <cell r="U192">
            <v>29</v>
          </cell>
        </row>
        <row r="193">
          <cell r="T193">
            <v>44389</v>
          </cell>
          <cell r="U193">
            <v>29</v>
          </cell>
        </row>
        <row r="194">
          <cell r="T194">
            <v>44390</v>
          </cell>
          <cell r="U194">
            <v>29</v>
          </cell>
        </row>
        <row r="195">
          <cell r="T195">
            <v>44391</v>
          </cell>
          <cell r="U195">
            <v>29</v>
          </cell>
        </row>
        <row r="196">
          <cell r="T196">
            <v>44392</v>
          </cell>
          <cell r="U196">
            <v>29</v>
          </cell>
        </row>
        <row r="197">
          <cell r="T197">
            <v>44393</v>
          </cell>
          <cell r="U197">
            <v>29</v>
          </cell>
        </row>
        <row r="198">
          <cell r="T198">
            <v>44394</v>
          </cell>
          <cell r="U198">
            <v>29</v>
          </cell>
        </row>
        <row r="199">
          <cell r="T199">
            <v>44395</v>
          </cell>
          <cell r="U199">
            <v>30</v>
          </cell>
        </row>
        <row r="200">
          <cell r="T200">
            <v>44396</v>
          </cell>
          <cell r="U200">
            <v>30</v>
          </cell>
        </row>
        <row r="201">
          <cell r="T201">
            <v>44397</v>
          </cell>
          <cell r="U201">
            <v>30</v>
          </cell>
        </row>
        <row r="202">
          <cell r="T202">
            <v>44398</v>
          </cell>
          <cell r="U202">
            <v>30</v>
          </cell>
        </row>
        <row r="203">
          <cell r="T203">
            <v>44399</v>
          </cell>
          <cell r="U203">
            <v>30</v>
          </cell>
        </row>
        <row r="204">
          <cell r="T204">
            <v>44400</v>
          </cell>
          <cell r="U204">
            <v>30</v>
          </cell>
        </row>
        <row r="205">
          <cell r="T205">
            <v>44401</v>
          </cell>
          <cell r="U205">
            <v>30</v>
          </cell>
        </row>
        <row r="206">
          <cell r="T206">
            <v>44402</v>
          </cell>
          <cell r="U206">
            <v>31</v>
          </cell>
        </row>
        <row r="207">
          <cell r="T207">
            <v>44403</v>
          </cell>
          <cell r="U207">
            <v>31</v>
          </cell>
        </row>
        <row r="208">
          <cell r="T208">
            <v>44404</v>
          </cell>
          <cell r="U208">
            <v>31</v>
          </cell>
        </row>
        <row r="209">
          <cell r="T209">
            <v>44405</v>
          </cell>
          <cell r="U209">
            <v>31</v>
          </cell>
        </row>
        <row r="210">
          <cell r="T210">
            <v>44406</v>
          </cell>
          <cell r="U210">
            <v>31</v>
          </cell>
        </row>
        <row r="211">
          <cell r="T211">
            <v>44407</v>
          </cell>
          <cell r="U211">
            <v>31</v>
          </cell>
        </row>
        <row r="212">
          <cell r="T212">
            <v>44408</v>
          </cell>
          <cell r="U212">
            <v>31</v>
          </cell>
        </row>
        <row r="213">
          <cell r="T213">
            <v>44409</v>
          </cell>
          <cell r="U213">
            <v>32</v>
          </cell>
        </row>
        <row r="214">
          <cell r="T214">
            <v>44410</v>
          </cell>
          <cell r="U214">
            <v>32</v>
          </cell>
        </row>
        <row r="215">
          <cell r="T215">
            <v>44411</v>
          </cell>
          <cell r="U215">
            <v>32</v>
          </cell>
        </row>
        <row r="216">
          <cell r="T216">
            <v>44412</v>
          </cell>
          <cell r="U216">
            <v>32</v>
          </cell>
        </row>
        <row r="217">
          <cell r="T217">
            <v>44413</v>
          </cell>
          <cell r="U217">
            <v>32</v>
          </cell>
        </row>
        <row r="218">
          <cell r="T218">
            <v>44414</v>
          </cell>
          <cell r="U218">
            <v>32</v>
          </cell>
        </row>
        <row r="219">
          <cell r="T219">
            <v>44415</v>
          </cell>
          <cell r="U219">
            <v>32</v>
          </cell>
        </row>
        <row r="220">
          <cell r="T220">
            <v>44416</v>
          </cell>
          <cell r="U220">
            <v>33</v>
          </cell>
        </row>
        <row r="221">
          <cell r="T221">
            <v>44417</v>
          </cell>
          <cell r="U221">
            <v>33</v>
          </cell>
        </row>
        <row r="222">
          <cell r="T222">
            <v>44418</v>
          </cell>
          <cell r="U222">
            <v>33</v>
          </cell>
        </row>
        <row r="223">
          <cell r="T223">
            <v>44419</v>
          </cell>
          <cell r="U223">
            <v>33</v>
          </cell>
        </row>
        <row r="224">
          <cell r="T224">
            <v>44420</v>
          </cell>
          <cell r="U224">
            <v>33</v>
          </cell>
        </row>
        <row r="225">
          <cell r="T225">
            <v>44421</v>
          </cell>
          <cell r="U225">
            <v>33</v>
          </cell>
        </row>
        <row r="226">
          <cell r="T226">
            <v>44422</v>
          </cell>
          <cell r="U226">
            <v>33</v>
          </cell>
        </row>
        <row r="227">
          <cell r="T227">
            <v>44423</v>
          </cell>
          <cell r="U227">
            <v>34</v>
          </cell>
        </row>
        <row r="228">
          <cell r="T228">
            <v>44424</v>
          </cell>
          <cell r="U228">
            <v>34</v>
          </cell>
        </row>
        <row r="229">
          <cell r="T229">
            <v>44425</v>
          </cell>
          <cell r="U229">
            <v>34</v>
          </cell>
        </row>
        <row r="230">
          <cell r="T230">
            <v>44426</v>
          </cell>
          <cell r="U230">
            <v>34</v>
          </cell>
        </row>
        <row r="231">
          <cell r="T231">
            <v>44427</v>
          </cell>
          <cell r="U231">
            <v>34</v>
          </cell>
        </row>
        <row r="232">
          <cell r="T232">
            <v>44428</v>
          </cell>
          <cell r="U232">
            <v>34</v>
          </cell>
        </row>
        <row r="233">
          <cell r="T233">
            <v>44429</v>
          </cell>
          <cell r="U233">
            <v>34</v>
          </cell>
        </row>
        <row r="234">
          <cell r="T234">
            <v>44430</v>
          </cell>
          <cell r="U234">
            <v>35</v>
          </cell>
        </row>
        <row r="235">
          <cell r="T235">
            <v>44431</v>
          </cell>
          <cell r="U235">
            <v>35</v>
          </cell>
        </row>
        <row r="236">
          <cell r="T236">
            <v>44432</v>
          </cell>
          <cell r="U236">
            <v>35</v>
          </cell>
        </row>
        <row r="237">
          <cell r="T237">
            <v>44433</v>
          </cell>
          <cell r="U237">
            <v>35</v>
          </cell>
        </row>
        <row r="238">
          <cell r="T238">
            <v>44434</v>
          </cell>
          <cell r="U238">
            <v>35</v>
          </cell>
        </row>
        <row r="239">
          <cell r="T239">
            <v>44435</v>
          </cell>
          <cell r="U239">
            <v>35</v>
          </cell>
        </row>
        <row r="240">
          <cell r="T240">
            <v>44436</v>
          </cell>
          <cell r="U240">
            <v>35</v>
          </cell>
        </row>
        <row r="241">
          <cell r="T241">
            <v>44437</v>
          </cell>
          <cell r="U241">
            <v>36</v>
          </cell>
        </row>
        <row r="242">
          <cell r="T242">
            <v>44438</v>
          </cell>
          <cell r="U242">
            <v>36</v>
          </cell>
        </row>
        <row r="243">
          <cell r="T243">
            <v>44439</v>
          </cell>
          <cell r="U243">
            <v>36</v>
          </cell>
        </row>
        <row r="244">
          <cell r="T244">
            <v>44440</v>
          </cell>
          <cell r="U244">
            <v>36</v>
          </cell>
        </row>
        <row r="245">
          <cell r="T245">
            <v>44441</v>
          </cell>
          <cell r="U245">
            <v>36</v>
          </cell>
        </row>
        <row r="246">
          <cell r="T246">
            <v>44442</v>
          </cell>
          <cell r="U246">
            <v>36</v>
          </cell>
        </row>
        <row r="247">
          <cell r="T247">
            <v>44443</v>
          </cell>
          <cell r="U247">
            <v>36</v>
          </cell>
        </row>
        <row r="248">
          <cell r="T248">
            <v>44444</v>
          </cell>
          <cell r="U248">
            <v>37</v>
          </cell>
        </row>
        <row r="249">
          <cell r="T249">
            <v>44445</v>
          </cell>
          <cell r="U249">
            <v>37</v>
          </cell>
        </row>
        <row r="250">
          <cell r="T250">
            <v>44446</v>
          </cell>
          <cell r="U250">
            <v>37</v>
          </cell>
        </row>
        <row r="251">
          <cell r="T251">
            <v>44447</v>
          </cell>
          <cell r="U251">
            <v>37</v>
          </cell>
        </row>
        <row r="252">
          <cell r="T252">
            <v>44448</v>
          </cell>
          <cell r="U252">
            <v>37</v>
          </cell>
        </row>
        <row r="253">
          <cell r="T253">
            <v>44449</v>
          </cell>
          <cell r="U253">
            <v>37</v>
          </cell>
        </row>
        <row r="254">
          <cell r="T254">
            <v>44450</v>
          </cell>
          <cell r="U254">
            <v>37</v>
          </cell>
        </row>
        <row r="255">
          <cell r="T255">
            <v>44451</v>
          </cell>
          <cell r="U255">
            <v>38</v>
          </cell>
        </row>
        <row r="256">
          <cell r="T256">
            <v>44452</v>
          </cell>
          <cell r="U256">
            <v>38</v>
          </cell>
        </row>
        <row r="257">
          <cell r="T257">
            <v>44453</v>
          </cell>
          <cell r="U257">
            <v>38</v>
          </cell>
        </row>
        <row r="258">
          <cell r="T258">
            <v>44454</v>
          </cell>
          <cell r="U258">
            <v>38</v>
          </cell>
        </row>
        <row r="259">
          <cell r="T259">
            <v>44455</v>
          </cell>
          <cell r="U259">
            <v>38</v>
          </cell>
        </row>
        <row r="260">
          <cell r="T260">
            <v>44456</v>
          </cell>
          <cell r="U260">
            <v>38</v>
          </cell>
        </row>
        <row r="261">
          <cell r="T261">
            <v>44457</v>
          </cell>
          <cell r="U261">
            <v>38</v>
          </cell>
        </row>
        <row r="262">
          <cell r="T262">
            <v>44458</v>
          </cell>
          <cell r="U262">
            <v>39</v>
          </cell>
        </row>
        <row r="263">
          <cell r="T263">
            <v>44459</v>
          </cell>
          <cell r="U263">
            <v>39</v>
          </cell>
        </row>
        <row r="264">
          <cell r="T264">
            <v>44460</v>
          </cell>
          <cell r="U264">
            <v>39</v>
          </cell>
        </row>
        <row r="265">
          <cell r="T265">
            <v>44461</v>
          </cell>
          <cell r="U265">
            <v>39</v>
          </cell>
        </row>
        <row r="266">
          <cell r="T266">
            <v>44462</v>
          </cell>
          <cell r="U266">
            <v>39</v>
          </cell>
        </row>
        <row r="267">
          <cell r="T267">
            <v>44463</v>
          </cell>
          <cell r="U267">
            <v>39</v>
          </cell>
        </row>
        <row r="268">
          <cell r="T268">
            <v>44464</v>
          </cell>
          <cell r="U268">
            <v>39</v>
          </cell>
        </row>
        <row r="269">
          <cell r="T269">
            <v>44465</v>
          </cell>
          <cell r="U269">
            <v>40</v>
          </cell>
        </row>
        <row r="270">
          <cell r="T270">
            <v>44466</v>
          </cell>
          <cell r="U270">
            <v>40</v>
          </cell>
        </row>
        <row r="271">
          <cell r="T271">
            <v>44467</v>
          </cell>
          <cell r="U271">
            <v>40</v>
          </cell>
        </row>
        <row r="272">
          <cell r="T272">
            <v>44468</v>
          </cell>
          <cell r="U272">
            <v>40</v>
          </cell>
        </row>
        <row r="273">
          <cell r="T273">
            <v>44469</v>
          </cell>
          <cell r="U273">
            <v>40</v>
          </cell>
        </row>
        <row r="274">
          <cell r="T274">
            <v>44470</v>
          </cell>
          <cell r="U274">
            <v>40</v>
          </cell>
        </row>
        <row r="275">
          <cell r="T275">
            <v>44471</v>
          </cell>
          <cell r="U275">
            <v>40</v>
          </cell>
        </row>
        <row r="276">
          <cell r="T276">
            <v>44472</v>
          </cell>
          <cell r="U276">
            <v>41</v>
          </cell>
        </row>
        <row r="277">
          <cell r="T277">
            <v>44473</v>
          </cell>
          <cell r="U277">
            <v>41</v>
          </cell>
        </row>
        <row r="278">
          <cell r="T278">
            <v>44474</v>
          </cell>
          <cell r="U278">
            <v>41</v>
          </cell>
        </row>
        <row r="279">
          <cell r="T279">
            <v>44475</v>
          </cell>
          <cell r="U279">
            <v>41</v>
          </cell>
        </row>
        <row r="280">
          <cell r="T280">
            <v>44476</v>
          </cell>
          <cell r="U280">
            <v>41</v>
          </cell>
        </row>
        <row r="281">
          <cell r="T281">
            <v>44477</v>
          </cell>
          <cell r="U281">
            <v>41</v>
          </cell>
        </row>
        <row r="282">
          <cell r="T282">
            <v>44478</v>
          </cell>
          <cell r="U282">
            <v>41</v>
          </cell>
        </row>
        <row r="283">
          <cell r="T283">
            <v>44479</v>
          </cell>
          <cell r="U283">
            <v>42</v>
          </cell>
        </row>
        <row r="284">
          <cell r="T284">
            <v>44480</v>
          </cell>
          <cell r="U284">
            <v>42</v>
          </cell>
        </row>
        <row r="285">
          <cell r="T285">
            <v>44481</v>
          </cell>
          <cell r="U285">
            <v>42</v>
          </cell>
        </row>
        <row r="286">
          <cell r="T286">
            <v>44482</v>
          </cell>
          <cell r="U286">
            <v>42</v>
          </cell>
        </row>
        <row r="287">
          <cell r="T287">
            <v>44483</v>
          </cell>
          <cell r="U287">
            <v>42</v>
          </cell>
        </row>
        <row r="288">
          <cell r="T288">
            <v>44484</v>
          </cell>
          <cell r="U288">
            <v>42</v>
          </cell>
        </row>
        <row r="289">
          <cell r="T289">
            <v>44485</v>
          </cell>
          <cell r="U289">
            <v>42</v>
          </cell>
        </row>
        <row r="290">
          <cell r="T290">
            <v>44486</v>
          </cell>
          <cell r="U290">
            <v>43</v>
          </cell>
        </row>
        <row r="291">
          <cell r="T291">
            <v>44487</v>
          </cell>
          <cell r="U291">
            <v>43</v>
          </cell>
        </row>
        <row r="292">
          <cell r="T292">
            <v>44488</v>
          </cell>
          <cell r="U292">
            <v>43</v>
          </cell>
        </row>
        <row r="293">
          <cell r="T293">
            <v>44489</v>
          </cell>
          <cell r="U293">
            <v>43</v>
          </cell>
        </row>
        <row r="294">
          <cell r="T294">
            <v>44490</v>
          </cell>
          <cell r="U294">
            <v>43</v>
          </cell>
        </row>
        <row r="295">
          <cell r="T295">
            <v>44491</v>
          </cell>
          <cell r="U295">
            <v>43</v>
          </cell>
        </row>
        <row r="296">
          <cell r="T296">
            <v>44492</v>
          </cell>
          <cell r="U296">
            <v>43</v>
          </cell>
        </row>
        <row r="297">
          <cell r="T297">
            <v>44493</v>
          </cell>
          <cell r="U297">
            <v>44</v>
          </cell>
        </row>
        <row r="298">
          <cell r="T298">
            <v>44494</v>
          </cell>
          <cell r="U298">
            <v>44</v>
          </cell>
        </row>
        <row r="299">
          <cell r="T299">
            <v>44495</v>
          </cell>
          <cell r="U299">
            <v>44</v>
          </cell>
        </row>
        <row r="300">
          <cell r="T300">
            <v>44496</v>
          </cell>
          <cell r="U300">
            <v>44</v>
          </cell>
        </row>
        <row r="301">
          <cell r="T301">
            <v>44497</v>
          </cell>
          <cell r="U301">
            <v>44</v>
          </cell>
        </row>
        <row r="302">
          <cell r="T302">
            <v>44498</v>
          </cell>
          <cell r="U302">
            <v>44</v>
          </cell>
        </row>
        <row r="303">
          <cell r="T303">
            <v>44499</v>
          </cell>
          <cell r="U303">
            <v>44</v>
          </cell>
        </row>
        <row r="304">
          <cell r="T304">
            <v>44500</v>
          </cell>
          <cell r="U304">
            <v>45</v>
          </cell>
        </row>
        <row r="305">
          <cell r="T305">
            <v>44501</v>
          </cell>
          <cell r="U305">
            <v>45</v>
          </cell>
        </row>
        <row r="306">
          <cell r="T306">
            <v>44502</v>
          </cell>
          <cell r="U306">
            <v>45</v>
          </cell>
        </row>
        <row r="307">
          <cell r="T307">
            <v>44503</v>
          </cell>
          <cell r="U307">
            <v>45</v>
          </cell>
        </row>
        <row r="308">
          <cell r="T308">
            <v>44504</v>
          </cell>
          <cell r="U308">
            <v>45</v>
          </cell>
        </row>
        <row r="309">
          <cell r="T309">
            <v>44505</v>
          </cell>
          <cell r="U309">
            <v>45</v>
          </cell>
        </row>
        <row r="310">
          <cell r="T310">
            <v>44506</v>
          </cell>
          <cell r="U310">
            <v>45</v>
          </cell>
        </row>
        <row r="311">
          <cell r="T311">
            <v>44507</v>
          </cell>
          <cell r="U311">
            <v>46</v>
          </cell>
        </row>
        <row r="312">
          <cell r="T312">
            <v>44508</v>
          </cell>
          <cell r="U312">
            <v>46</v>
          </cell>
        </row>
        <row r="313">
          <cell r="T313">
            <v>44509</v>
          </cell>
          <cell r="U313">
            <v>46</v>
          </cell>
        </row>
        <row r="314">
          <cell r="T314">
            <v>44510</v>
          </cell>
          <cell r="U314">
            <v>46</v>
          </cell>
        </row>
        <row r="315">
          <cell r="T315">
            <v>44511</v>
          </cell>
          <cell r="U315">
            <v>46</v>
          </cell>
        </row>
        <row r="316">
          <cell r="T316">
            <v>44512</v>
          </cell>
          <cell r="U316">
            <v>46</v>
          </cell>
        </row>
        <row r="317">
          <cell r="T317">
            <v>44513</v>
          </cell>
          <cell r="U317">
            <v>46</v>
          </cell>
        </row>
        <row r="318">
          <cell r="T318">
            <v>44514</v>
          </cell>
          <cell r="U318">
            <v>47</v>
          </cell>
        </row>
        <row r="319">
          <cell r="T319">
            <v>44515</v>
          </cell>
          <cell r="U319">
            <v>47</v>
          </cell>
        </row>
        <row r="320">
          <cell r="T320">
            <v>44516</v>
          </cell>
          <cell r="U320">
            <v>47</v>
          </cell>
        </row>
        <row r="321">
          <cell r="T321">
            <v>44517</v>
          </cell>
          <cell r="U321">
            <v>47</v>
          </cell>
        </row>
        <row r="322">
          <cell r="T322">
            <v>44518</v>
          </cell>
          <cell r="U322">
            <v>47</v>
          </cell>
        </row>
        <row r="323">
          <cell r="T323">
            <v>44519</v>
          </cell>
          <cell r="U323">
            <v>47</v>
          </cell>
        </row>
        <row r="324">
          <cell r="T324">
            <v>44520</v>
          </cell>
          <cell r="U324">
            <v>47</v>
          </cell>
        </row>
        <row r="325">
          <cell r="T325">
            <v>44521</v>
          </cell>
          <cell r="U325">
            <v>48</v>
          </cell>
        </row>
        <row r="326">
          <cell r="T326">
            <v>44522</v>
          </cell>
          <cell r="U326">
            <v>48</v>
          </cell>
        </row>
        <row r="327">
          <cell r="T327">
            <v>44523</v>
          </cell>
          <cell r="U327">
            <v>48</v>
          </cell>
        </row>
        <row r="328">
          <cell r="T328">
            <v>44524</v>
          </cell>
          <cell r="U328">
            <v>48</v>
          </cell>
        </row>
        <row r="329">
          <cell r="T329">
            <v>44525</v>
          </cell>
          <cell r="U329">
            <v>48</v>
          </cell>
        </row>
        <row r="330">
          <cell r="T330">
            <v>44526</v>
          </cell>
          <cell r="U330">
            <v>48</v>
          </cell>
        </row>
        <row r="331">
          <cell r="T331">
            <v>44527</v>
          </cell>
          <cell r="U331">
            <v>48</v>
          </cell>
        </row>
        <row r="332">
          <cell r="T332">
            <v>44528</v>
          </cell>
          <cell r="U332">
            <v>49</v>
          </cell>
        </row>
        <row r="333">
          <cell r="T333">
            <v>44529</v>
          </cell>
          <cell r="U333">
            <v>49</v>
          </cell>
        </row>
        <row r="334">
          <cell r="T334">
            <v>44530</v>
          </cell>
          <cell r="U334">
            <v>49</v>
          </cell>
        </row>
        <row r="335">
          <cell r="T335">
            <v>44531</v>
          </cell>
          <cell r="U335">
            <v>49</v>
          </cell>
        </row>
        <row r="336">
          <cell r="T336">
            <v>44532</v>
          </cell>
          <cell r="U336">
            <v>49</v>
          </cell>
        </row>
        <row r="337">
          <cell r="T337">
            <v>44533</v>
          </cell>
          <cell r="U337">
            <v>49</v>
          </cell>
        </row>
        <row r="338">
          <cell r="T338">
            <v>44534</v>
          </cell>
          <cell r="U338">
            <v>49</v>
          </cell>
        </row>
        <row r="339">
          <cell r="T339">
            <v>44535</v>
          </cell>
          <cell r="U339">
            <v>50</v>
          </cell>
        </row>
        <row r="340">
          <cell r="T340">
            <v>44536</v>
          </cell>
          <cell r="U340">
            <v>50</v>
          </cell>
        </row>
        <row r="341">
          <cell r="T341">
            <v>44537</v>
          </cell>
          <cell r="U341">
            <v>50</v>
          </cell>
        </row>
        <row r="342">
          <cell r="T342">
            <v>44538</v>
          </cell>
          <cell r="U342">
            <v>50</v>
          </cell>
        </row>
        <row r="343">
          <cell r="T343">
            <v>44539</v>
          </cell>
          <cell r="U343">
            <v>50</v>
          </cell>
        </row>
        <row r="344">
          <cell r="T344">
            <v>44540</v>
          </cell>
          <cell r="U344">
            <v>50</v>
          </cell>
        </row>
        <row r="345">
          <cell r="T345">
            <v>44541</v>
          </cell>
          <cell r="U345">
            <v>50</v>
          </cell>
        </row>
        <row r="346">
          <cell r="T346">
            <v>44542</v>
          </cell>
          <cell r="U346">
            <v>51</v>
          </cell>
        </row>
        <row r="347">
          <cell r="T347">
            <v>44543</v>
          </cell>
          <cell r="U347">
            <v>51</v>
          </cell>
        </row>
        <row r="348">
          <cell r="T348">
            <v>44544</v>
          </cell>
          <cell r="U348">
            <v>51</v>
          </cell>
        </row>
        <row r="349">
          <cell r="T349">
            <v>44545</v>
          </cell>
          <cell r="U349">
            <v>51</v>
          </cell>
        </row>
        <row r="350">
          <cell r="T350">
            <v>44546</v>
          </cell>
          <cell r="U350">
            <v>51</v>
          </cell>
        </row>
        <row r="351">
          <cell r="T351">
            <v>44547</v>
          </cell>
          <cell r="U351">
            <v>51</v>
          </cell>
        </row>
        <row r="352">
          <cell r="T352">
            <v>44548</v>
          </cell>
          <cell r="U352">
            <v>51</v>
          </cell>
        </row>
        <row r="353">
          <cell r="T353">
            <v>44549</v>
          </cell>
          <cell r="U353">
            <v>52</v>
          </cell>
        </row>
        <row r="354">
          <cell r="T354">
            <v>44550</v>
          </cell>
          <cell r="U354">
            <v>52</v>
          </cell>
        </row>
        <row r="355">
          <cell r="T355">
            <v>44551</v>
          </cell>
          <cell r="U355">
            <v>52</v>
          </cell>
        </row>
        <row r="356">
          <cell r="T356">
            <v>44552</v>
          </cell>
          <cell r="U356">
            <v>52</v>
          </cell>
        </row>
        <row r="357">
          <cell r="T357">
            <v>44553</v>
          </cell>
          <cell r="U357">
            <v>52</v>
          </cell>
        </row>
        <row r="358">
          <cell r="T358">
            <v>44554</v>
          </cell>
          <cell r="U358">
            <v>52</v>
          </cell>
        </row>
        <row r="359">
          <cell r="T359">
            <v>44555</v>
          </cell>
          <cell r="U359">
            <v>52</v>
          </cell>
        </row>
        <row r="360">
          <cell r="T360">
            <v>44556</v>
          </cell>
          <cell r="U360">
            <v>53</v>
          </cell>
        </row>
        <row r="361">
          <cell r="T361">
            <v>44557</v>
          </cell>
          <cell r="U361">
            <v>53</v>
          </cell>
        </row>
        <row r="362">
          <cell r="T362">
            <v>44558</v>
          </cell>
          <cell r="U362">
            <v>53</v>
          </cell>
        </row>
        <row r="363">
          <cell r="T363">
            <v>44559</v>
          </cell>
          <cell r="U363">
            <v>53</v>
          </cell>
        </row>
        <row r="364">
          <cell r="T364">
            <v>44560</v>
          </cell>
          <cell r="U364">
            <v>53</v>
          </cell>
        </row>
        <row r="365">
          <cell r="T365">
            <v>44561</v>
          </cell>
          <cell r="U365">
            <v>53</v>
          </cell>
        </row>
        <row r="366">
          <cell r="T366" t="str">
            <v>---</v>
          </cell>
        </row>
        <row r="367">
          <cell r="T367">
            <v>44562</v>
          </cell>
          <cell r="U367">
            <v>1</v>
          </cell>
        </row>
        <row r="368">
          <cell r="T368">
            <v>44563</v>
          </cell>
          <cell r="U368">
            <v>2</v>
          </cell>
        </row>
        <row r="369">
          <cell r="T369">
            <v>44564</v>
          </cell>
          <cell r="U369">
            <v>2</v>
          </cell>
        </row>
        <row r="370">
          <cell r="T370">
            <v>44565</v>
          </cell>
          <cell r="U370">
            <v>2</v>
          </cell>
        </row>
        <row r="371">
          <cell r="T371">
            <v>44566</v>
          </cell>
          <cell r="U371">
            <v>2</v>
          </cell>
        </row>
        <row r="372">
          <cell r="T372">
            <v>44567</v>
          </cell>
          <cell r="U372">
            <v>2</v>
          </cell>
        </row>
        <row r="373">
          <cell r="T373">
            <v>44568</v>
          </cell>
          <cell r="U373">
            <v>2</v>
          </cell>
        </row>
        <row r="374">
          <cell r="T374">
            <v>44569</v>
          </cell>
          <cell r="U374">
            <v>2</v>
          </cell>
        </row>
        <row r="375">
          <cell r="T375">
            <v>44570</v>
          </cell>
          <cell r="U375">
            <v>3</v>
          </cell>
        </row>
        <row r="376">
          <cell r="T376">
            <v>44571</v>
          </cell>
          <cell r="U376">
            <v>3</v>
          </cell>
        </row>
        <row r="377">
          <cell r="T377">
            <v>44572</v>
          </cell>
          <cell r="U377">
            <v>3</v>
          </cell>
        </row>
        <row r="378">
          <cell r="T378">
            <v>44573</v>
          </cell>
          <cell r="U378">
            <v>3</v>
          </cell>
        </row>
        <row r="379">
          <cell r="T379">
            <v>44574</v>
          </cell>
          <cell r="U379">
            <v>3</v>
          </cell>
        </row>
        <row r="380">
          <cell r="T380">
            <v>44575</v>
          </cell>
          <cell r="U380">
            <v>3</v>
          </cell>
        </row>
        <row r="381">
          <cell r="T381">
            <v>44576</v>
          </cell>
          <cell r="U381">
            <v>3</v>
          </cell>
        </row>
        <row r="382">
          <cell r="T382">
            <v>44577</v>
          </cell>
          <cell r="U382">
            <v>4</v>
          </cell>
        </row>
        <row r="383">
          <cell r="T383">
            <v>44578</v>
          </cell>
          <cell r="U383">
            <v>4</v>
          </cell>
        </row>
        <row r="384">
          <cell r="T384">
            <v>44579</v>
          </cell>
          <cell r="U384">
            <v>4</v>
          </cell>
        </row>
        <row r="385">
          <cell r="T385">
            <v>44580</v>
          </cell>
          <cell r="U385">
            <v>4</v>
          </cell>
        </row>
        <row r="386">
          <cell r="T386">
            <v>44581</v>
          </cell>
          <cell r="U386">
            <v>4</v>
          </cell>
        </row>
        <row r="387">
          <cell r="T387">
            <v>44582</v>
          </cell>
          <cell r="U387">
            <v>4</v>
          </cell>
        </row>
        <row r="388">
          <cell r="T388">
            <v>44583</v>
          </cell>
          <cell r="U388">
            <v>4</v>
          </cell>
        </row>
        <row r="389">
          <cell r="T389">
            <v>44584</v>
          </cell>
          <cell r="U389">
            <v>5</v>
          </cell>
        </row>
        <row r="390">
          <cell r="T390">
            <v>44585</v>
          </cell>
          <cell r="U390">
            <v>5</v>
          </cell>
        </row>
        <row r="391">
          <cell r="T391">
            <v>44586</v>
          </cell>
          <cell r="U391">
            <v>5</v>
          </cell>
        </row>
        <row r="392">
          <cell r="T392">
            <v>44587</v>
          </cell>
          <cell r="U392">
            <v>5</v>
          </cell>
        </row>
        <row r="393">
          <cell r="T393">
            <v>44588</v>
          </cell>
          <cell r="U393">
            <v>5</v>
          </cell>
        </row>
        <row r="394">
          <cell r="T394">
            <v>44589</v>
          </cell>
          <cell r="U394">
            <v>5</v>
          </cell>
        </row>
        <row r="395">
          <cell r="T395">
            <v>44590</v>
          </cell>
          <cell r="U395">
            <v>5</v>
          </cell>
        </row>
        <row r="396">
          <cell r="T396">
            <v>44591</v>
          </cell>
          <cell r="U396">
            <v>6</v>
          </cell>
        </row>
        <row r="397">
          <cell r="T397">
            <v>44592</v>
          </cell>
          <cell r="U397">
            <v>6</v>
          </cell>
        </row>
        <row r="398">
          <cell r="T398">
            <v>44593</v>
          </cell>
          <cell r="U398">
            <v>6</v>
          </cell>
        </row>
        <row r="399">
          <cell r="T399">
            <v>44594</v>
          </cell>
          <cell r="U399">
            <v>6</v>
          </cell>
        </row>
        <row r="400">
          <cell r="T400">
            <v>44595</v>
          </cell>
          <cell r="U400">
            <v>6</v>
          </cell>
        </row>
        <row r="401">
          <cell r="T401">
            <v>44596</v>
          </cell>
          <cell r="U401">
            <v>6</v>
          </cell>
        </row>
        <row r="402">
          <cell r="T402">
            <v>44597</v>
          </cell>
          <cell r="U402">
            <v>6</v>
          </cell>
        </row>
        <row r="403">
          <cell r="T403">
            <v>44598</v>
          </cell>
          <cell r="U403">
            <v>7</v>
          </cell>
        </row>
        <row r="404">
          <cell r="T404">
            <v>44599</v>
          </cell>
          <cell r="U404">
            <v>7</v>
          </cell>
        </row>
        <row r="405">
          <cell r="T405">
            <v>44600</v>
          </cell>
          <cell r="U405">
            <v>7</v>
          </cell>
        </row>
        <row r="406">
          <cell r="T406">
            <v>44601</v>
          </cell>
          <cell r="U406">
            <v>7</v>
          </cell>
        </row>
        <row r="407">
          <cell r="T407">
            <v>44602</v>
          </cell>
          <cell r="U407">
            <v>7</v>
          </cell>
        </row>
        <row r="408">
          <cell r="T408">
            <v>44603</v>
          </cell>
          <cell r="U408">
            <v>7</v>
          </cell>
        </row>
        <row r="409">
          <cell r="T409">
            <v>44604</v>
          </cell>
          <cell r="U409">
            <v>7</v>
          </cell>
        </row>
        <row r="410">
          <cell r="T410">
            <v>44605</v>
          </cell>
          <cell r="U410">
            <v>8</v>
          </cell>
        </row>
        <row r="411">
          <cell r="T411">
            <v>44606</v>
          </cell>
          <cell r="U411">
            <v>8</v>
          </cell>
        </row>
        <row r="412">
          <cell r="T412">
            <v>44607</v>
          </cell>
          <cell r="U412">
            <v>8</v>
          </cell>
        </row>
        <row r="413">
          <cell r="T413">
            <v>44608</v>
          </cell>
          <cell r="U413">
            <v>8</v>
          </cell>
        </row>
        <row r="414">
          <cell r="T414">
            <v>44609</v>
          </cell>
          <cell r="U414">
            <v>8</v>
          </cell>
        </row>
        <row r="415">
          <cell r="T415">
            <v>44610</v>
          </cell>
          <cell r="U415">
            <v>8</v>
          </cell>
        </row>
        <row r="416">
          <cell r="T416">
            <v>44611</v>
          </cell>
          <cell r="U416">
            <v>8</v>
          </cell>
        </row>
        <row r="417">
          <cell r="T417">
            <v>44612</v>
          </cell>
          <cell r="U417">
            <v>9</v>
          </cell>
        </row>
        <row r="418">
          <cell r="T418">
            <v>44613</v>
          </cell>
          <cell r="U418">
            <v>9</v>
          </cell>
        </row>
        <row r="419">
          <cell r="T419">
            <v>44614</v>
          </cell>
          <cell r="U419">
            <v>9</v>
          </cell>
        </row>
        <row r="420">
          <cell r="T420">
            <v>44615</v>
          </cell>
          <cell r="U420">
            <v>9</v>
          </cell>
        </row>
        <row r="421">
          <cell r="T421">
            <v>44616</v>
          </cell>
          <cell r="U421">
            <v>9</v>
          </cell>
        </row>
        <row r="422">
          <cell r="T422">
            <v>44617</v>
          </cell>
          <cell r="U422">
            <v>9</v>
          </cell>
        </row>
        <row r="423">
          <cell r="T423">
            <v>44618</v>
          </cell>
          <cell r="U423">
            <v>9</v>
          </cell>
        </row>
        <row r="424">
          <cell r="T424">
            <v>44619</v>
          </cell>
          <cell r="U424">
            <v>10</v>
          </cell>
        </row>
        <row r="425">
          <cell r="T425">
            <v>44620</v>
          </cell>
          <cell r="U425">
            <v>10</v>
          </cell>
        </row>
        <row r="426">
          <cell r="T426">
            <v>44621</v>
          </cell>
          <cell r="U426">
            <v>10</v>
          </cell>
        </row>
        <row r="427">
          <cell r="T427">
            <v>44622</v>
          </cell>
          <cell r="U427">
            <v>10</v>
          </cell>
        </row>
        <row r="428">
          <cell r="T428">
            <v>44623</v>
          </cell>
          <cell r="U428">
            <v>10</v>
          </cell>
        </row>
        <row r="429">
          <cell r="T429">
            <v>44624</v>
          </cell>
          <cell r="U429">
            <v>10</v>
          </cell>
        </row>
        <row r="430">
          <cell r="T430">
            <v>44625</v>
          </cell>
          <cell r="U430">
            <v>10</v>
          </cell>
        </row>
        <row r="431">
          <cell r="T431">
            <v>44626</v>
          </cell>
          <cell r="U431">
            <v>11</v>
          </cell>
        </row>
        <row r="432">
          <cell r="T432">
            <v>44627</v>
          </cell>
          <cell r="U432">
            <v>11</v>
          </cell>
        </row>
        <row r="433">
          <cell r="T433">
            <v>44628</v>
          </cell>
          <cell r="U433">
            <v>11</v>
          </cell>
        </row>
        <row r="434">
          <cell r="T434">
            <v>44629</v>
          </cell>
          <cell r="U434">
            <v>11</v>
          </cell>
        </row>
        <row r="435">
          <cell r="T435">
            <v>44630</v>
          </cell>
          <cell r="U435">
            <v>11</v>
          </cell>
        </row>
        <row r="436">
          <cell r="T436">
            <v>44631</v>
          </cell>
          <cell r="U436">
            <v>11</v>
          </cell>
        </row>
        <row r="437">
          <cell r="T437">
            <v>44632</v>
          </cell>
          <cell r="U437">
            <v>11</v>
          </cell>
        </row>
        <row r="438">
          <cell r="T438">
            <v>44633</v>
          </cell>
          <cell r="U438">
            <v>12</v>
          </cell>
        </row>
        <row r="439">
          <cell r="T439">
            <v>44634</v>
          </cell>
          <cell r="U439">
            <v>12</v>
          </cell>
        </row>
        <row r="440">
          <cell r="T440">
            <v>44635</v>
          </cell>
          <cell r="U440">
            <v>12</v>
          </cell>
        </row>
        <row r="441">
          <cell r="T441">
            <v>44636</v>
          </cell>
          <cell r="U441">
            <v>12</v>
          </cell>
        </row>
        <row r="442">
          <cell r="T442">
            <v>44637</v>
          </cell>
          <cell r="U442">
            <v>12</v>
          </cell>
        </row>
        <row r="443">
          <cell r="T443">
            <v>44638</v>
          </cell>
          <cell r="U443">
            <v>12</v>
          </cell>
        </row>
        <row r="444">
          <cell r="T444">
            <v>44639</v>
          </cell>
          <cell r="U444">
            <v>12</v>
          </cell>
        </row>
        <row r="445">
          <cell r="T445">
            <v>44640</v>
          </cell>
          <cell r="U445">
            <v>13</v>
          </cell>
        </row>
        <row r="446">
          <cell r="T446">
            <v>44641</v>
          </cell>
          <cell r="U446">
            <v>13</v>
          </cell>
        </row>
        <row r="447">
          <cell r="T447">
            <v>44642</v>
          </cell>
          <cell r="U447">
            <v>13</v>
          </cell>
        </row>
        <row r="448">
          <cell r="T448">
            <v>44643</v>
          </cell>
          <cell r="U448">
            <v>13</v>
          </cell>
        </row>
        <row r="449">
          <cell r="T449">
            <v>44644</v>
          </cell>
          <cell r="U449">
            <v>13</v>
          </cell>
        </row>
        <row r="450">
          <cell r="T450">
            <v>44645</v>
          </cell>
          <cell r="U450">
            <v>13</v>
          </cell>
        </row>
        <row r="451">
          <cell r="T451">
            <v>44646</v>
          </cell>
          <cell r="U451">
            <v>13</v>
          </cell>
        </row>
        <row r="452">
          <cell r="T452">
            <v>44647</v>
          </cell>
          <cell r="U452">
            <v>14</v>
          </cell>
        </row>
        <row r="453">
          <cell r="T453">
            <v>44648</v>
          </cell>
          <cell r="U453">
            <v>14</v>
          </cell>
        </row>
        <row r="454">
          <cell r="T454">
            <v>44649</v>
          </cell>
          <cell r="U454">
            <v>14</v>
          </cell>
        </row>
        <row r="455">
          <cell r="T455">
            <v>44650</v>
          </cell>
          <cell r="U455">
            <v>14</v>
          </cell>
        </row>
        <row r="456">
          <cell r="T456">
            <v>44651</v>
          </cell>
          <cell r="U456">
            <v>14</v>
          </cell>
        </row>
        <row r="457">
          <cell r="T457">
            <v>44652</v>
          </cell>
          <cell r="U457">
            <v>14</v>
          </cell>
        </row>
        <row r="458">
          <cell r="T458">
            <v>44653</v>
          </cell>
          <cell r="U458">
            <v>14</v>
          </cell>
        </row>
        <row r="459">
          <cell r="T459">
            <v>44654</v>
          </cell>
          <cell r="U459">
            <v>15</v>
          </cell>
        </row>
        <row r="460">
          <cell r="T460">
            <v>44655</v>
          </cell>
          <cell r="U460">
            <v>15</v>
          </cell>
        </row>
        <row r="461">
          <cell r="T461">
            <v>44656</v>
          </cell>
          <cell r="U461">
            <v>15</v>
          </cell>
        </row>
        <row r="462">
          <cell r="T462">
            <v>44657</v>
          </cell>
          <cell r="U462">
            <v>15</v>
          </cell>
        </row>
        <row r="463">
          <cell r="T463">
            <v>44658</v>
          </cell>
          <cell r="U463">
            <v>15</v>
          </cell>
        </row>
        <row r="464">
          <cell r="T464">
            <v>44659</v>
          </cell>
          <cell r="U464">
            <v>15</v>
          </cell>
        </row>
        <row r="465">
          <cell r="T465">
            <v>44660</v>
          </cell>
          <cell r="U465">
            <v>15</v>
          </cell>
        </row>
        <row r="466">
          <cell r="T466">
            <v>44661</v>
          </cell>
          <cell r="U466">
            <v>16</v>
          </cell>
        </row>
        <row r="467">
          <cell r="T467">
            <v>44662</v>
          </cell>
          <cell r="U467">
            <v>16</v>
          </cell>
        </row>
        <row r="468">
          <cell r="T468">
            <v>44663</v>
          </cell>
          <cell r="U468">
            <v>16</v>
          </cell>
        </row>
        <row r="469">
          <cell r="T469">
            <v>44664</v>
          </cell>
          <cell r="U469">
            <v>16</v>
          </cell>
        </row>
        <row r="470">
          <cell r="T470">
            <v>44665</v>
          </cell>
          <cell r="U470">
            <v>16</v>
          </cell>
        </row>
        <row r="471">
          <cell r="T471">
            <v>44666</v>
          </cell>
          <cell r="U471">
            <v>16</v>
          </cell>
        </row>
        <row r="472">
          <cell r="T472">
            <v>44667</v>
          </cell>
          <cell r="U472">
            <v>16</v>
          </cell>
        </row>
        <row r="473">
          <cell r="T473">
            <v>44668</v>
          </cell>
          <cell r="U473">
            <v>17</v>
          </cell>
        </row>
        <row r="474">
          <cell r="T474">
            <v>44669</v>
          </cell>
          <cell r="U474">
            <v>17</v>
          </cell>
        </row>
        <row r="475">
          <cell r="T475">
            <v>44670</v>
          </cell>
          <cell r="U475">
            <v>17</v>
          </cell>
        </row>
        <row r="476">
          <cell r="T476">
            <v>44671</v>
          </cell>
          <cell r="U476">
            <v>17</v>
          </cell>
        </row>
        <row r="477">
          <cell r="T477">
            <v>44672</v>
          </cell>
          <cell r="U477">
            <v>17</v>
          </cell>
        </row>
        <row r="478">
          <cell r="T478">
            <v>44673</v>
          </cell>
          <cell r="U478">
            <v>17</v>
          </cell>
        </row>
        <row r="479">
          <cell r="T479">
            <v>44674</v>
          </cell>
          <cell r="U479">
            <v>17</v>
          </cell>
        </row>
        <row r="480">
          <cell r="T480">
            <v>44675</v>
          </cell>
          <cell r="U480">
            <v>18</v>
          </cell>
        </row>
        <row r="481">
          <cell r="T481">
            <v>44676</v>
          </cell>
          <cell r="U481">
            <v>18</v>
          </cell>
        </row>
        <row r="482">
          <cell r="T482">
            <v>44677</v>
          </cell>
          <cell r="U482">
            <v>18</v>
          </cell>
        </row>
        <row r="483">
          <cell r="T483">
            <v>44678</v>
          </cell>
          <cell r="U483">
            <v>18</v>
          </cell>
        </row>
        <row r="484">
          <cell r="T484">
            <v>44679</v>
          </cell>
          <cell r="U484">
            <v>18</v>
          </cell>
        </row>
        <row r="485">
          <cell r="T485">
            <v>44680</v>
          </cell>
          <cell r="U485">
            <v>18</v>
          </cell>
        </row>
        <row r="486">
          <cell r="T486">
            <v>44681</v>
          </cell>
          <cell r="U486">
            <v>18</v>
          </cell>
        </row>
        <row r="487">
          <cell r="T487">
            <v>44682</v>
          </cell>
          <cell r="U487">
            <v>19</v>
          </cell>
        </row>
        <row r="488">
          <cell r="T488">
            <v>44683</v>
          </cell>
          <cell r="U488">
            <v>19</v>
          </cell>
        </row>
        <row r="489">
          <cell r="T489">
            <v>44684</v>
          </cell>
          <cell r="U489">
            <v>19</v>
          </cell>
        </row>
        <row r="490">
          <cell r="T490">
            <v>44685</v>
          </cell>
          <cell r="U490">
            <v>19</v>
          </cell>
        </row>
        <row r="491">
          <cell r="T491">
            <v>44686</v>
          </cell>
          <cell r="U491">
            <v>19</v>
          </cell>
        </row>
        <row r="492">
          <cell r="T492">
            <v>44687</v>
          </cell>
          <cell r="U492">
            <v>19</v>
          </cell>
        </row>
        <row r="493">
          <cell r="T493">
            <v>44688</v>
          </cell>
          <cell r="U493">
            <v>19</v>
          </cell>
        </row>
        <row r="494">
          <cell r="T494">
            <v>44689</v>
          </cell>
          <cell r="U494">
            <v>20</v>
          </cell>
        </row>
        <row r="495">
          <cell r="T495">
            <v>44690</v>
          </cell>
          <cell r="U495">
            <v>20</v>
          </cell>
        </row>
        <row r="496">
          <cell r="T496">
            <v>44691</v>
          </cell>
          <cell r="U496">
            <v>20</v>
          </cell>
        </row>
        <row r="497">
          <cell r="T497">
            <v>44692</v>
          </cell>
          <cell r="U497">
            <v>20</v>
          </cell>
        </row>
        <row r="498">
          <cell r="T498">
            <v>44693</v>
          </cell>
          <cell r="U498">
            <v>20</v>
          </cell>
        </row>
        <row r="499">
          <cell r="T499">
            <v>44694</v>
          </cell>
          <cell r="U499">
            <v>20</v>
          </cell>
        </row>
        <row r="500">
          <cell r="T500">
            <v>44695</v>
          </cell>
          <cell r="U500">
            <v>20</v>
          </cell>
        </row>
        <row r="501">
          <cell r="T501">
            <v>44696</v>
          </cell>
          <cell r="U501">
            <v>21</v>
          </cell>
        </row>
        <row r="502">
          <cell r="T502">
            <v>44697</v>
          </cell>
          <cell r="U502">
            <v>21</v>
          </cell>
        </row>
        <row r="503">
          <cell r="T503">
            <v>44698</v>
          </cell>
          <cell r="U503">
            <v>21</v>
          </cell>
        </row>
        <row r="504">
          <cell r="T504">
            <v>44699</v>
          </cell>
          <cell r="U504">
            <v>21</v>
          </cell>
        </row>
        <row r="505">
          <cell r="T505">
            <v>44700</v>
          </cell>
          <cell r="U505">
            <v>21</v>
          </cell>
        </row>
        <row r="506">
          <cell r="T506">
            <v>44701</v>
          </cell>
          <cell r="U506">
            <v>21</v>
          </cell>
        </row>
        <row r="507">
          <cell r="T507">
            <v>44702</v>
          </cell>
          <cell r="U507">
            <v>21</v>
          </cell>
        </row>
        <row r="508">
          <cell r="T508">
            <v>44703</v>
          </cell>
          <cell r="U508">
            <v>22</v>
          </cell>
        </row>
        <row r="509">
          <cell r="T509">
            <v>44704</v>
          </cell>
          <cell r="U509">
            <v>22</v>
          </cell>
        </row>
        <row r="510">
          <cell r="T510">
            <v>44705</v>
          </cell>
          <cell r="U510">
            <v>22</v>
          </cell>
        </row>
        <row r="511">
          <cell r="T511">
            <v>44706</v>
          </cell>
          <cell r="U511">
            <v>22</v>
          </cell>
        </row>
        <row r="512">
          <cell r="T512">
            <v>44707</v>
          </cell>
          <cell r="U512">
            <v>22</v>
          </cell>
        </row>
        <row r="513">
          <cell r="T513">
            <v>44708</v>
          </cell>
          <cell r="U513">
            <v>22</v>
          </cell>
        </row>
        <row r="514">
          <cell r="T514">
            <v>44709</v>
          </cell>
          <cell r="U514">
            <v>22</v>
          </cell>
        </row>
        <row r="515">
          <cell r="T515">
            <v>44710</v>
          </cell>
          <cell r="U515">
            <v>23</v>
          </cell>
        </row>
        <row r="516">
          <cell r="T516">
            <v>44711</v>
          </cell>
          <cell r="U516">
            <v>23</v>
          </cell>
        </row>
        <row r="517">
          <cell r="T517">
            <v>44712</v>
          </cell>
          <cell r="U517">
            <v>23</v>
          </cell>
        </row>
        <row r="518">
          <cell r="T518">
            <v>44713</v>
          </cell>
          <cell r="U518">
            <v>23</v>
          </cell>
        </row>
        <row r="519">
          <cell r="T519">
            <v>44714</v>
          </cell>
          <cell r="U519">
            <v>23</v>
          </cell>
        </row>
        <row r="520">
          <cell r="T520">
            <v>44715</v>
          </cell>
          <cell r="U520">
            <v>23</v>
          </cell>
        </row>
        <row r="521">
          <cell r="T521">
            <v>44716</v>
          </cell>
          <cell r="U521">
            <v>23</v>
          </cell>
        </row>
        <row r="522">
          <cell r="T522">
            <v>44717</v>
          </cell>
          <cell r="U522">
            <v>24</v>
          </cell>
        </row>
        <row r="523">
          <cell r="T523">
            <v>44718</v>
          </cell>
          <cell r="U523">
            <v>24</v>
          </cell>
        </row>
        <row r="524">
          <cell r="T524">
            <v>44719</v>
          </cell>
          <cell r="U524">
            <v>24</v>
          </cell>
        </row>
        <row r="525">
          <cell r="T525">
            <v>44720</v>
          </cell>
          <cell r="U525">
            <v>24</v>
          </cell>
        </row>
        <row r="526">
          <cell r="T526">
            <v>44721</v>
          </cell>
          <cell r="U526">
            <v>24</v>
          </cell>
        </row>
        <row r="527">
          <cell r="T527">
            <v>44722</v>
          </cell>
          <cell r="U527">
            <v>24</v>
          </cell>
        </row>
        <row r="528">
          <cell r="T528">
            <v>44723</v>
          </cell>
          <cell r="U528">
            <v>24</v>
          </cell>
        </row>
        <row r="529">
          <cell r="T529">
            <v>44724</v>
          </cell>
          <cell r="U529">
            <v>25</v>
          </cell>
        </row>
        <row r="530">
          <cell r="T530">
            <v>44725</v>
          </cell>
          <cell r="U530">
            <v>25</v>
          </cell>
        </row>
        <row r="531">
          <cell r="T531">
            <v>44726</v>
          </cell>
          <cell r="U531">
            <v>25</v>
          </cell>
        </row>
        <row r="532">
          <cell r="T532">
            <v>44727</v>
          </cell>
          <cell r="U532">
            <v>25</v>
          </cell>
        </row>
        <row r="533">
          <cell r="T533">
            <v>44728</v>
          </cell>
          <cell r="U533">
            <v>25</v>
          </cell>
        </row>
        <row r="534">
          <cell r="T534">
            <v>44729</v>
          </cell>
          <cell r="U534">
            <v>25</v>
          </cell>
        </row>
        <row r="535">
          <cell r="T535">
            <v>44730</v>
          </cell>
          <cell r="U535">
            <v>25</v>
          </cell>
        </row>
        <row r="536">
          <cell r="T536">
            <v>44731</v>
          </cell>
          <cell r="U536">
            <v>26</v>
          </cell>
        </row>
        <row r="537">
          <cell r="T537">
            <v>44732</v>
          </cell>
          <cell r="U537">
            <v>26</v>
          </cell>
        </row>
        <row r="538">
          <cell r="T538">
            <v>44733</v>
          </cell>
          <cell r="U538">
            <v>26</v>
          </cell>
        </row>
        <row r="539">
          <cell r="T539">
            <v>44734</v>
          </cell>
          <cell r="U539">
            <v>26</v>
          </cell>
        </row>
        <row r="540">
          <cell r="T540">
            <v>44735</v>
          </cell>
          <cell r="U540">
            <v>26</v>
          </cell>
        </row>
        <row r="541">
          <cell r="T541">
            <v>44736</v>
          </cell>
          <cell r="U541">
            <v>26</v>
          </cell>
        </row>
        <row r="542">
          <cell r="T542">
            <v>44737</v>
          </cell>
          <cell r="U542">
            <v>26</v>
          </cell>
        </row>
        <row r="543">
          <cell r="T543">
            <v>44738</v>
          </cell>
          <cell r="U543">
            <v>27</v>
          </cell>
        </row>
        <row r="544">
          <cell r="T544">
            <v>44739</v>
          </cell>
          <cell r="U544">
            <v>27</v>
          </cell>
        </row>
        <row r="545">
          <cell r="T545">
            <v>44740</v>
          </cell>
          <cell r="U545">
            <v>27</v>
          </cell>
        </row>
        <row r="546">
          <cell r="T546">
            <v>44741</v>
          </cell>
          <cell r="U546">
            <v>27</v>
          </cell>
        </row>
        <row r="547">
          <cell r="T547">
            <v>44742</v>
          </cell>
          <cell r="U547">
            <v>27</v>
          </cell>
        </row>
        <row r="548">
          <cell r="T548">
            <v>44743</v>
          </cell>
          <cell r="U548">
            <v>27</v>
          </cell>
        </row>
        <row r="549">
          <cell r="T549">
            <v>44744</v>
          </cell>
          <cell r="U549">
            <v>27</v>
          </cell>
        </row>
        <row r="550">
          <cell r="T550">
            <v>44745</v>
          </cell>
          <cell r="U550">
            <v>28</v>
          </cell>
        </row>
        <row r="551">
          <cell r="T551">
            <v>44746</v>
          </cell>
          <cell r="U551">
            <v>28</v>
          </cell>
        </row>
        <row r="552">
          <cell r="T552">
            <v>44747</v>
          </cell>
          <cell r="U552">
            <v>28</v>
          </cell>
        </row>
        <row r="553">
          <cell r="T553">
            <v>44748</v>
          </cell>
          <cell r="U553">
            <v>28</v>
          </cell>
        </row>
        <row r="554">
          <cell r="T554">
            <v>44749</v>
          </cell>
          <cell r="U554">
            <v>28</v>
          </cell>
        </row>
        <row r="555">
          <cell r="T555">
            <v>44750</v>
          </cell>
          <cell r="U555">
            <v>28</v>
          </cell>
        </row>
        <row r="556">
          <cell r="T556">
            <v>44751</v>
          </cell>
          <cell r="U556">
            <v>28</v>
          </cell>
        </row>
        <row r="557">
          <cell r="T557">
            <v>44752</v>
          </cell>
          <cell r="U557">
            <v>29</v>
          </cell>
        </row>
        <row r="558">
          <cell r="T558">
            <v>44753</v>
          </cell>
          <cell r="U558">
            <v>29</v>
          </cell>
        </row>
        <row r="559">
          <cell r="T559">
            <v>44754</v>
          </cell>
          <cell r="U559">
            <v>29</v>
          </cell>
        </row>
        <row r="560">
          <cell r="T560">
            <v>44755</v>
          </cell>
          <cell r="U560">
            <v>29</v>
          </cell>
        </row>
        <row r="561">
          <cell r="T561">
            <v>44756</v>
          </cell>
          <cell r="U561">
            <v>29</v>
          </cell>
        </row>
        <row r="562">
          <cell r="T562">
            <v>44757</v>
          </cell>
          <cell r="U562">
            <v>29</v>
          </cell>
        </row>
        <row r="563">
          <cell r="T563">
            <v>44758</v>
          </cell>
          <cell r="U563">
            <v>29</v>
          </cell>
        </row>
        <row r="564">
          <cell r="T564">
            <v>44759</v>
          </cell>
          <cell r="U564">
            <v>30</v>
          </cell>
        </row>
        <row r="565">
          <cell r="T565">
            <v>44760</v>
          </cell>
          <cell r="U565">
            <v>30</v>
          </cell>
        </row>
        <row r="566">
          <cell r="T566">
            <v>44761</v>
          </cell>
          <cell r="U566">
            <v>30</v>
          </cell>
        </row>
        <row r="567">
          <cell r="T567">
            <v>44762</v>
          </cell>
          <cell r="U567">
            <v>30</v>
          </cell>
        </row>
        <row r="568">
          <cell r="T568">
            <v>44763</v>
          </cell>
          <cell r="U568">
            <v>30</v>
          </cell>
        </row>
        <row r="569">
          <cell r="T569">
            <v>44764</v>
          </cell>
          <cell r="U569">
            <v>30</v>
          </cell>
        </row>
        <row r="570">
          <cell r="T570">
            <v>44765</v>
          </cell>
          <cell r="U570">
            <v>30</v>
          </cell>
        </row>
        <row r="571">
          <cell r="T571">
            <v>44766</v>
          </cell>
          <cell r="U571">
            <v>31</v>
          </cell>
        </row>
        <row r="572">
          <cell r="T572">
            <v>44767</v>
          </cell>
          <cell r="U572">
            <v>31</v>
          </cell>
        </row>
        <row r="573">
          <cell r="T573">
            <v>44768</v>
          </cell>
          <cell r="U573">
            <v>31</v>
          </cell>
        </row>
        <row r="574">
          <cell r="T574">
            <v>44769</v>
          </cell>
          <cell r="U574">
            <v>31</v>
          </cell>
        </row>
        <row r="575">
          <cell r="T575">
            <v>44770</v>
          </cell>
          <cell r="U575">
            <v>31</v>
          </cell>
        </row>
        <row r="576">
          <cell r="T576">
            <v>44771</v>
          </cell>
          <cell r="U576">
            <v>31</v>
          </cell>
        </row>
        <row r="577">
          <cell r="T577">
            <v>44772</v>
          </cell>
          <cell r="U577">
            <v>31</v>
          </cell>
        </row>
        <row r="578">
          <cell r="T578">
            <v>44773</v>
          </cell>
          <cell r="U578">
            <v>32</v>
          </cell>
        </row>
        <row r="579">
          <cell r="T579">
            <v>44774</v>
          </cell>
          <cell r="U579">
            <v>32</v>
          </cell>
        </row>
        <row r="580">
          <cell r="T580">
            <v>44775</v>
          </cell>
          <cell r="U580">
            <v>32</v>
          </cell>
        </row>
        <row r="581">
          <cell r="T581">
            <v>44776</v>
          </cell>
          <cell r="U581">
            <v>32</v>
          </cell>
        </row>
        <row r="582">
          <cell r="T582">
            <v>44777</v>
          </cell>
          <cell r="U582">
            <v>32</v>
          </cell>
        </row>
        <row r="583">
          <cell r="T583">
            <v>44778</v>
          </cell>
          <cell r="U583">
            <v>32</v>
          </cell>
        </row>
        <row r="584">
          <cell r="T584">
            <v>44779</v>
          </cell>
          <cell r="U584">
            <v>32</v>
          </cell>
        </row>
        <row r="585">
          <cell r="T585">
            <v>44780</v>
          </cell>
          <cell r="U585">
            <v>33</v>
          </cell>
        </row>
        <row r="586">
          <cell r="T586">
            <v>44781</v>
          </cell>
          <cell r="U586">
            <v>33</v>
          </cell>
        </row>
        <row r="587">
          <cell r="T587">
            <v>44782</v>
          </cell>
          <cell r="U587">
            <v>33</v>
          </cell>
        </row>
        <row r="588">
          <cell r="T588">
            <v>44783</v>
          </cell>
          <cell r="U588">
            <v>33</v>
          </cell>
        </row>
        <row r="589">
          <cell r="T589">
            <v>44784</v>
          </cell>
          <cell r="U589">
            <v>33</v>
          </cell>
        </row>
        <row r="590">
          <cell r="T590">
            <v>44785</v>
          </cell>
          <cell r="U590">
            <v>33</v>
          </cell>
        </row>
        <row r="591">
          <cell r="T591">
            <v>44786</v>
          </cell>
          <cell r="U591">
            <v>33</v>
          </cell>
        </row>
        <row r="592">
          <cell r="T592">
            <v>44787</v>
          </cell>
          <cell r="U592">
            <v>34</v>
          </cell>
        </row>
        <row r="593">
          <cell r="T593">
            <v>44788</v>
          </cell>
          <cell r="U593">
            <v>34</v>
          </cell>
        </row>
        <row r="594">
          <cell r="T594">
            <v>44789</v>
          </cell>
          <cell r="U594">
            <v>34</v>
          </cell>
        </row>
        <row r="595">
          <cell r="T595">
            <v>44790</v>
          </cell>
          <cell r="U595">
            <v>34</v>
          </cell>
        </row>
        <row r="596">
          <cell r="T596">
            <v>44791</v>
          </cell>
          <cell r="U596">
            <v>34</v>
          </cell>
        </row>
        <row r="597">
          <cell r="T597">
            <v>44792</v>
          </cell>
          <cell r="U597">
            <v>34</v>
          </cell>
        </row>
        <row r="598">
          <cell r="T598">
            <v>44793</v>
          </cell>
          <cell r="U598">
            <v>34</v>
          </cell>
        </row>
        <row r="599">
          <cell r="T599">
            <v>44794</v>
          </cell>
          <cell r="U599">
            <v>35</v>
          </cell>
        </row>
        <row r="600">
          <cell r="T600">
            <v>44795</v>
          </cell>
          <cell r="U600">
            <v>35</v>
          </cell>
        </row>
        <row r="601">
          <cell r="T601">
            <v>44796</v>
          </cell>
          <cell r="U601">
            <v>35</v>
          </cell>
        </row>
        <row r="602">
          <cell r="T602">
            <v>44797</v>
          </cell>
          <cell r="U602">
            <v>35</v>
          </cell>
        </row>
        <row r="603">
          <cell r="T603">
            <v>44798</v>
          </cell>
          <cell r="U603">
            <v>35</v>
          </cell>
        </row>
        <row r="604">
          <cell r="T604">
            <v>44799</v>
          </cell>
          <cell r="U604">
            <v>35</v>
          </cell>
        </row>
        <row r="605">
          <cell r="T605">
            <v>44800</v>
          </cell>
          <cell r="U605">
            <v>35</v>
          </cell>
        </row>
        <row r="606">
          <cell r="T606">
            <v>44801</v>
          </cell>
          <cell r="U606">
            <v>36</v>
          </cell>
        </row>
        <row r="607">
          <cell r="T607">
            <v>44802</v>
          </cell>
          <cell r="U607">
            <v>36</v>
          </cell>
        </row>
        <row r="608">
          <cell r="T608">
            <v>44803</v>
          </cell>
          <cell r="U608">
            <v>36</v>
          </cell>
        </row>
        <row r="609">
          <cell r="T609">
            <v>44804</v>
          </cell>
          <cell r="U609">
            <v>36</v>
          </cell>
        </row>
        <row r="610">
          <cell r="T610">
            <v>44805</v>
          </cell>
          <cell r="U610">
            <v>36</v>
          </cell>
        </row>
        <row r="611">
          <cell r="T611">
            <v>44806</v>
          </cell>
          <cell r="U611">
            <v>36</v>
          </cell>
        </row>
        <row r="612">
          <cell r="T612">
            <v>44807</v>
          </cell>
          <cell r="U612">
            <v>36</v>
          </cell>
        </row>
        <row r="613">
          <cell r="T613">
            <v>44808</v>
          </cell>
          <cell r="U613">
            <v>37</v>
          </cell>
        </row>
        <row r="614">
          <cell r="T614">
            <v>44809</v>
          </cell>
          <cell r="U614">
            <v>37</v>
          </cell>
        </row>
        <row r="615">
          <cell r="T615">
            <v>44810</v>
          </cell>
          <cell r="U615">
            <v>37</v>
          </cell>
        </row>
        <row r="616">
          <cell r="T616">
            <v>44811</v>
          </cell>
          <cell r="U616">
            <v>37</v>
          </cell>
        </row>
        <row r="617">
          <cell r="T617">
            <v>44812</v>
          </cell>
          <cell r="U617">
            <v>37</v>
          </cell>
        </row>
        <row r="618">
          <cell r="T618">
            <v>44813</v>
          </cell>
          <cell r="U618">
            <v>37</v>
          </cell>
        </row>
        <row r="619">
          <cell r="T619">
            <v>44814</v>
          </cell>
          <cell r="U619">
            <v>37</v>
          </cell>
        </row>
        <row r="620">
          <cell r="T620">
            <v>44815</v>
          </cell>
          <cell r="U620">
            <v>38</v>
          </cell>
        </row>
        <row r="621">
          <cell r="T621">
            <v>44816</v>
          </cell>
          <cell r="U621">
            <v>38</v>
          </cell>
        </row>
        <row r="622">
          <cell r="T622">
            <v>44817</v>
          </cell>
          <cell r="U622">
            <v>38</v>
          </cell>
        </row>
        <row r="623">
          <cell r="T623">
            <v>44818</v>
          </cell>
          <cell r="U623">
            <v>38</v>
          </cell>
        </row>
        <row r="624">
          <cell r="T624">
            <v>44819</v>
          </cell>
          <cell r="U624">
            <v>38</v>
          </cell>
        </row>
        <row r="625">
          <cell r="T625">
            <v>44820</v>
          </cell>
          <cell r="U625">
            <v>38</v>
          </cell>
        </row>
        <row r="626">
          <cell r="T626">
            <v>44821</v>
          </cell>
          <cell r="U626">
            <v>38</v>
          </cell>
        </row>
        <row r="627">
          <cell r="T627">
            <v>44822</v>
          </cell>
          <cell r="U627">
            <v>39</v>
          </cell>
        </row>
        <row r="628">
          <cell r="T628">
            <v>44823</v>
          </cell>
          <cell r="U628">
            <v>39</v>
          </cell>
        </row>
        <row r="629">
          <cell r="T629">
            <v>44824</v>
          </cell>
          <cell r="U629">
            <v>39</v>
          </cell>
        </row>
        <row r="630">
          <cell r="T630">
            <v>44825</v>
          </cell>
          <cell r="U630">
            <v>39</v>
          </cell>
        </row>
        <row r="631">
          <cell r="T631">
            <v>44826</v>
          </cell>
          <cell r="U631">
            <v>39</v>
          </cell>
        </row>
        <row r="632">
          <cell r="T632">
            <v>44827</v>
          </cell>
          <cell r="U632">
            <v>39</v>
          </cell>
        </row>
        <row r="633">
          <cell r="T633">
            <v>44828</v>
          </cell>
          <cell r="U633">
            <v>39</v>
          </cell>
        </row>
        <row r="634">
          <cell r="T634">
            <v>44829</v>
          </cell>
          <cell r="U634">
            <v>40</v>
          </cell>
        </row>
        <row r="635">
          <cell r="T635">
            <v>44830</v>
          </cell>
          <cell r="U635">
            <v>40</v>
          </cell>
        </row>
        <row r="636">
          <cell r="T636">
            <v>44831</v>
          </cell>
          <cell r="U636">
            <v>40</v>
          </cell>
        </row>
        <row r="637">
          <cell r="T637">
            <v>44832</v>
          </cell>
          <cell r="U637">
            <v>40</v>
          </cell>
        </row>
        <row r="638">
          <cell r="T638">
            <v>44833</v>
          </cell>
          <cell r="U638">
            <v>40</v>
          </cell>
        </row>
        <row r="639">
          <cell r="T639">
            <v>44834</v>
          </cell>
          <cell r="U639">
            <v>40</v>
          </cell>
        </row>
        <row r="640">
          <cell r="T640">
            <v>44835</v>
          </cell>
          <cell r="U640">
            <v>40</v>
          </cell>
        </row>
        <row r="641">
          <cell r="T641">
            <v>44836</v>
          </cell>
          <cell r="U641">
            <v>41</v>
          </cell>
        </row>
        <row r="642">
          <cell r="T642">
            <v>44837</v>
          </cell>
          <cell r="U642">
            <v>41</v>
          </cell>
        </row>
        <row r="643">
          <cell r="T643">
            <v>44838</v>
          </cell>
          <cell r="U643">
            <v>41</v>
          </cell>
        </row>
        <row r="644">
          <cell r="T644">
            <v>44839</v>
          </cell>
          <cell r="U644">
            <v>41</v>
          </cell>
        </row>
        <row r="645">
          <cell r="T645">
            <v>44840</v>
          </cell>
          <cell r="U645">
            <v>41</v>
          </cell>
        </row>
        <row r="646">
          <cell r="T646">
            <v>44841</v>
          </cell>
          <cell r="U646">
            <v>41</v>
          </cell>
        </row>
        <row r="647">
          <cell r="T647">
            <v>44842</v>
          </cell>
          <cell r="U647">
            <v>41</v>
          </cell>
        </row>
        <row r="648">
          <cell r="T648">
            <v>44843</v>
          </cell>
          <cell r="U648">
            <v>42</v>
          </cell>
        </row>
        <row r="649">
          <cell r="T649">
            <v>44844</v>
          </cell>
          <cell r="U649">
            <v>42</v>
          </cell>
        </row>
        <row r="650">
          <cell r="T650">
            <v>44845</v>
          </cell>
          <cell r="U650">
            <v>42</v>
          </cell>
        </row>
        <row r="651">
          <cell r="T651">
            <v>44846</v>
          </cell>
          <cell r="U651">
            <v>42</v>
          </cell>
        </row>
        <row r="652">
          <cell r="T652">
            <v>44847</v>
          </cell>
          <cell r="U652">
            <v>42</v>
          </cell>
        </row>
        <row r="653">
          <cell r="T653">
            <v>44848</v>
          </cell>
          <cell r="U653">
            <v>42</v>
          </cell>
        </row>
        <row r="654">
          <cell r="T654">
            <v>44849</v>
          </cell>
          <cell r="U654">
            <v>42</v>
          </cell>
        </row>
        <row r="655">
          <cell r="T655">
            <v>44850</v>
          </cell>
          <cell r="U655">
            <v>43</v>
          </cell>
        </row>
        <row r="656">
          <cell r="T656">
            <v>44851</v>
          </cell>
          <cell r="U656">
            <v>43</v>
          </cell>
        </row>
        <row r="657">
          <cell r="T657">
            <v>44852</v>
          </cell>
          <cell r="U657">
            <v>43</v>
          </cell>
        </row>
        <row r="658">
          <cell r="T658">
            <v>44853</v>
          </cell>
          <cell r="U658">
            <v>43</v>
          </cell>
        </row>
        <row r="659">
          <cell r="T659">
            <v>44854</v>
          </cell>
          <cell r="U659">
            <v>43</v>
          </cell>
        </row>
        <row r="660">
          <cell r="T660">
            <v>44855</v>
          </cell>
          <cell r="U660">
            <v>43</v>
          </cell>
        </row>
        <row r="661">
          <cell r="T661">
            <v>44856</v>
          </cell>
          <cell r="U661">
            <v>43</v>
          </cell>
        </row>
        <row r="662">
          <cell r="T662">
            <v>44857</v>
          </cell>
          <cell r="U662">
            <v>44</v>
          </cell>
        </row>
        <row r="663">
          <cell r="T663">
            <v>44858</v>
          </cell>
          <cell r="U663">
            <v>44</v>
          </cell>
        </row>
        <row r="664">
          <cell r="T664">
            <v>44859</v>
          </cell>
          <cell r="U664">
            <v>44</v>
          </cell>
        </row>
        <row r="665">
          <cell r="T665">
            <v>44860</v>
          </cell>
          <cell r="U665">
            <v>44</v>
          </cell>
        </row>
        <row r="666">
          <cell r="T666">
            <v>44861</v>
          </cell>
          <cell r="U666">
            <v>44</v>
          </cell>
        </row>
        <row r="667">
          <cell r="T667">
            <v>44862</v>
          </cell>
          <cell r="U667">
            <v>44</v>
          </cell>
        </row>
        <row r="668">
          <cell r="T668">
            <v>44863</v>
          </cell>
          <cell r="U668">
            <v>44</v>
          </cell>
        </row>
        <row r="669">
          <cell r="T669">
            <v>44864</v>
          </cell>
          <cell r="U669">
            <v>45</v>
          </cell>
        </row>
        <row r="670">
          <cell r="T670">
            <v>44865</v>
          </cell>
          <cell r="U670">
            <v>45</v>
          </cell>
        </row>
        <row r="671">
          <cell r="T671">
            <v>44866</v>
          </cell>
          <cell r="U671">
            <v>45</v>
          </cell>
        </row>
        <row r="672">
          <cell r="T672">
            <v>44867</v>
          </cell>
          <cell r="U672">
            <v>45</v>
          </cell>
        </row>
        <row r="673">
          <cell r="T673">
            <v>44868</v>
          </cell>
          <cell r="U673">
            <v>45</v>
          </cell>
        </row>
        <row r="674">
          <cell r="T674">
            <v>44869</v>
          </cell>
          <cell r="U674">
            <v>45</v>
          </cell>
        </row>
        <row r="675">
          <cell r="T675">
            <v>44870</v>
          </cell>
          <cell r="U675">
            <v>45</v>
          </cell>
        </row>
        <row r="676">
          <cell r="T676">
            <v>44871</v>
          </cell>
          <cell r="U676">
            <v>46</v>
          </cell>
        </row>
        <row r="677">
          <cell r="T677">
            <v>44872</v>
          </cell>
          <cell r="U677">
            <v>46</v>
          </cell>
        </row>
        <row r="678">
          <cell r="T678">
            <v>44873</v>
          </cell>
          <cell r="U678">
            <v>46</v>
          </cell>
        </row>
        <row r="679">
          <cell r="T679">
            <v>44874</v>
          </cell>
          <cell r="U679">
            <v>46</v>
          </cell>
        </row>
        <row r="680">
          <cell r="T680">
            <v>44875</v>
          </cell>
          <cell r="U680">
            <v>46</v>
          </cell>
        </row>
        <row r="681">
          <cell r="T681">
            <v>44876</v>
          </cell>
          <cell r="U681">
            <v>46</v>
          </cell>
        </row>
        <row r="682">
          <cell r="T682">
            <v>44877</v>
          </cell>
          <cell r="U682">
            <v>46</v>
          </cell>
        </row>
        <row r="683">
          <cell r="T683">
            <v>44878</v>
          </cell>
          <cell r="U683">
            <v>47</v>
          </cell>
        </row>
        <row r="684">
          <cell r="T684">
            <v>44879</v>
          </cell>
          <cell r="U684">
            <v>47</v>
          </cell>
        </row>
        <row r="685">
          <cell r="T685">
            <v>44880</v>
          </cell>
          <cell r="U685">
            <v>47</v>
          </cell>
        </row>
        <row r="686">
          <cell r="T686">
            <v>44881</v>
          </cell>
          <cell r="U686">
            <v>47</v>
          </cell>
        </row>
        <row r="687">
          <cell r="T687">
            <v>44882</v>
          </cell>
          <cell r="U687">
            <v>47</v>
          </cell>
        </row>
        <row r="688">
          <cell r="T688">
            <v>44883</v>
          </cell>
          <cell r="U688">
            <v>47</v>
          </cell>
        </row>
        <row r="689">
          <cell r="T689">
            <v>44884</v>
          </cell>
          <cell r="U689">
            <v>47</v>
          </cell>
        </row>
        <row r="690">
          <cell r="T690">
            <v>44885</v>
          </cell>
          <cell r="U690">
            <v>48</v>
          </cell>
        </row>
        <row r="691">
          <cell r="T691">
            <v>44886</v>
          </cell>
          <cell r="U691">
            <v>48</v>
          </cell>
        </row>
        <row r="692">
          <cell r="T692">
            <v>44887</v>
          </cell>
          <cell r="U692">
            <v>48</v>
          </cell>
        </row>
        <row r="693">
          <cell r="T693">
            <v>44888</v>
          </cell>
          <cell r="U693">
            <v>48</v>
          </cell>
        </row>
        <row r="694">
          <cell r="T694">
            <v>44889</v>
          </cell>
          <cell r="U694">
            <v>48</v>
          </cell>
        </row>
        <row r="695">
          <cell r="T695">
            <v>44890</v>
          </cell>
          <cell r="U695">
            <v>48</v>
          </cell>
        </row>
        <row r="696">
          <cell r="T696">
            <v>44891</v>
          </cell>
          <cell r="U696">
            <v>48</v>
          </cell>
        </row>
        <row r="697">
          <cell r="T697">
            <v>44892</v>
          </cell>
          <cell r="U697">
            <v>49</v>
          </cell>
        </row>
        <row r="698">
          <cell r="T698">
            <v>44893</v>
          </cell>
          <cell r="U698">
            <v>49</v>
          </cell>
        </row>
        <row r="699">
          <cell r="T699">
            <v>44894</v>
          </cell>
          <cell r="U699">
            <v>49</v>
          </cell>
        </row>
        <row r="700">
          <cell r="T700">
            <v>44895</v>
          </cell>
          <cell r="U700">
            <v>49</v>
          </cell>
        </row>
        <row r="701">
          <cell r="T701">
            <v>44896</v>
          </cell>
          <cell r="U701">
            <v>49</v>
          </cell>
        </row>
        <row r="702">
          <cell r="T702">
            <v>44897</v>
          </cell>
          <cell r="U702">
            <v>49</v>
          </cell>
        </row>
        <row r="703">
          <cell r="T703">
            <v>44898</v>
          </cell>
          <cell r="U703">
            <v>49</v>
          </cell>
        </row>
        <row r="704">
          <cell r="T704">
            <v>44899</v>
          </cell>
          <cell r="U704">
            <v>50</v>
          </cell>
        </row>
        <row r="705">
          <cell r="T705">
            <v>44900</v>
          </cell>
          <cell r="U705">
            <v>50</v>
          </cell>
        </row>
        <row r="706">
          <cell r="T706">
            <v>44901</v>
          </cell>
          <cell r="U706">
            <v>50</v>
          </cell>
        </row>
        <row r="707">
          <cell r="T707">
            <v>44902</v>
          </cell>
          <cell r="U707">
            <v>50</v>
          </cell>
        </row>
        <row r="708">
          <cell r="T708">
            <v>44903</v>
          </cell>
          <cell r="U708">
            <v>50</v>
          </cell>
        </row>
        <row r="709">
          <cell r="T709">
            <v>44904</v>
          </cell>
          <cell r="U709">
            <v>50</v>
          </cell>
        </row>
        <row r="710">
          <cell r="T710">
            <v>44905</v>
          </cell>
          <cell r="U710">
            <v>50</v>
          </cell>
        </row>
        <row r="711">
          <cell r="T711">
            <v>44906</v>
          </cell>
          <cell r="U711">
            <v>51</v>
          </cell>
        </row>
        <row r="712">
          <cell r="T712">
            <v>44907</v>
          </cell>
          <cell r="U712">
            <v>51</v>
          </cell>
        </row>
        <row r="713">
          <cell r="T713">
            <v>44908</v>
          </cell>
          <cell r="U713">
            <v>51</v>
          </cell>
        </row>
        <row r="714">
          <cell r="T714">
            <v>44909</v>
          </cell>
          <cell r="U714">
            <v>51</v>
          </cell>
        </row>
        <row r="715">
          <cell r="T715">
            <v>44910</v>
          </cell>
          <cell r="U715">
            <v>51</v>
          </cell>
        </row>
        <row r="716">
          <cell r="T716">
            <v>44911</v>
          </cell>
          <cell r="U716">
            <v>51</v>
          </cell>
        </row>
        <row r="717">
          <cell r="T717">
            <v>44912</v>
          </cell>
          <cell r="U717">
            <v>51</v>
          </cell>
        </row>
        <row r="718">
          <cell r="T718">
            <v>44913</v>
          </cell>
          <cell r="U718">
            <v>52</v>
          </cell>
        </row>
        <row r="719">
          <cell r="T719">
            <v>44914</v>
          </cell>
          <cell r="U719">
            <v>52</v>
          </cell>
        </row>
        <row r="720">
          <cell r="T720">
            <v>44915</v>
          </cell>
          <cell r="U720">
            <v>52</v>
          </cell>
        </row>
        <row r="721">
          <cell r="T721">
            <v>44916</v>
          </cell>
          <cell r="U721">
            <v>52</v>
          </cell>
        </row>
        <row r="722">
          <cell r="T722">
            <v>44917</v>
          </cell>
          <cell r="U722">
            <v>52</v>
          </cell>
        </row>
        <row r="723">
          <cell r="T723">
            <v>44918</v>
          </cell>
          <cell r="U723">
            <v>52</v>
          </cell>
        </row>
        <row r="724">
          <cell r="T724">
            <v>44919</v>
          </cell>
          <cell r="U724">
            <v>52</v>
          </cell>
        </row>
        <row r="725">
          <cell r="T725">
            <v>44920</v>
          </cell>
          <cell r="U725">
            <v>53</v>
          </cell>
        </row>
        <row r="726">
          <cell r="T726">
            <v>44921</v>
          </cell>
          <cell r="U726">
            <v>53</v>
          </cell>
        </row>
        <row r="727">
          <cell r="T727">
            <v>44922</v>
          </cell>
          <cell r="U727">
            <v>53</v>
          </cell>
        </row>
        <row r="728">
          <cell r="T728">
            <v>44923</v>
          </cell>
          <cell r="U728">
            <v>53</v>
          </cell>
        </row>
        <row r="729">
          <cell r="T729">
            <v>44924</v>
          </cell>
          <cell r="U729">
            <v>53</v>
          </cell>
        </row>
        <row r="730">
          <cell r="T730">
            <v>44925</v>
          </cell>
          <cell r="U730">
            <v>53</v>
          </cell>
        </row>
        <row r="731">
          <cell r="T731">
            <v>44926</v>
          </cell>
          <cell r="U731">
            <v>53</v>
          </cell>
        </row>
        <row r="732">
          <cell r="T732" t="str">
            <v>---</v>
          </cell>
        </row>
        <row r="733">
          <cell r="T733">
            <v>44927</v>
          </cell>
          <cell r="U733">
            <v>1</v>
          </cell>
        </row>
        <row r="734">
          <cell r="T734">
            <v>44928</v>
          </cell>
          <cell r="U734">
            <v>1</v>
          </cell>
        </row>
        <row r="735">
          <cell r="T735">
            <v>44929</v>
          </cell>
          <cell r="U735">
            <v>1</v>
          </cell>
        </row>
        <row r="736">
          <cell r="T736">
            <v>44930</v>
          </cell>
          <cell r="U736">
            <v>1</v>
          </cell>
        </row>
        <row r="737">
          <cell r="T737">
            <v>44931</v>
          </cell>
          <cell r="U737">
            <v>1</v>
          </cell>
        </row>
        <row r="738">
          <cell r="T738">
            <v>44932</v>
          </cell>
          <cell r="U738">
            <v>1</v>
          </cell>
        </row>
        <row r="739">
          <cell r="T739">
            <v>44933</v>
          </cell>
          <cell r="U739">
            <v>1</v>
          </cell>
        </row>
        <row r="740">
          <cell r="T740">
            <v>44934</v>
          </cell>
          <cell r="U740">
            <v>2</v>
          </cell>
        </row>
        <row r="741">
          <cell r="T741">
            <v>44935</v>
          </cell>
          <cell r="U741">
            <v>2</v>
          </cell>
        </row>
        <row r="742">
          <cell r="T742">
            <v>44936</v>
          </cell>
          <cell r="U742">
            <v>2</v>
          </cell>
        </row>
        <row r="743">
          <cell r="T743">
            <v>44937</v>
          </cell>
          <cell r="U743">
            <v>2</v>
          </cell>
        </row>
        <row r="744">
          <cell r="T744">
            <v>44938</v>
          </cell>
          <cell r="U744">
            <v>2</v>
          </cell>
        </row>
        <row r="745">
          <cell r="T745">
            <v>44939</v>
          </cell>
          <cell r="U745">
            <v>2</v>
          </cell>
        </row>
        <row r="746">
          <cell r="T746">
            <v>44940</v>
          </cell>
          <cell r="U746">
            <v>2</v>
          </cell>
        </row>
        <row r="747">
          <cell r="T747">
            <v>44941</v>
          </cell>
          <cell r="U747">
            <v>3</v>
          </cell>
        </row>
        <row r="748">
          <cell r="T748">
            <v>44942</v>
          </cell>
          <cell r="U748">
            <v>3</v>
          </cell>
        </row>
        <row r="749">
          <cell r="T749">
            <v>44943</v>
          </cell>
          <cell r="U749">
            <v>3</v>
          </cell>
        </row>
        <row r="750">
          <cell r="T750">
            <v>44944</v>
          </cell>
          <cell r="U750">
            <v>3</v>
          </cell>
        </row>
        <row r="751">
          <cell r="T751">
            <v>44945</v>
          </cell>
          <cell r="U751">
            <v>3</v>
          </cell>
        </row>
        <row r="752">
          <cell r="T752">
            <v>44946</v>
          </cell>
          <cell r="U752">
            <v>3</v>
          </cell>
        </row>
        <row r="753">
          <cell r="T753">
            <v>44947</v>
          </cell>
          <cell r="U753">
            <v>3</v>
          </cell>
        </row>
        <row r="754">
          <cell r="T754">
            <v>44948</v>
          </cell>
          <cell r="U754">
            <v>4</v>
          </cell>
        </row>
        <row r="755">
          <cell r="T755">
            <v>44949</v>
          </cell>
          <cell r="U755">
            <v>4</v>
          </cell>
        </row>
        <row r="756">
          <cell r="T756">
            <v>44950</v>
          </cell>
          <cell r="U756">
            <v>4</v>
          </cell>
        </row>
        <row r="757">
          <cell r="T757">
            <v>44951</v>
          </cell>
          <cell r="U757">
            <v>4</v>
          </cell>
        </row>
        <row r="758">
          <cell r="T758">
            <v>44952</v>
          </cell>
          <cell r="U758">
            <v>4</v>
          </cell>
        </row>
        <row r="759">
          <cell r="T759">
            <v>44953</v>
          </cell>
          <cell r="U759">
            <v>4</v>
          </cell>
        </row>
        <row r="760">
          <cell r="T760">
            <v>44954</v>
          </cell>
          <cell r="U760">
            <v>4</v>
          </cell>
        </row>
        <row r="761">
          <cell r="T761">
            <v>44955</v>
          </cell>
          <cell r="U761">
            <v>5</v>
          </cell>
        </row>
        <row r="762">
          <cell r="T762">
            <v>44956</v>
          </cell>
          <cell r="U762">
            <v>5</v>
          </cell>
        </row>
        <row r="763">
          <cell r="T763">
            <v>44957</v>
          </cell>
          <cell r="U763">
            <v>5</v>
          </cell>
        </row>
        <row r="764">
          <cell r="T764">
            <v>44958</v>
          </cell>
          <cell r="U764">
            <v>5</v>
          </cell>
        </row>
        <row r="765">
          <cell r="T765">
            <v>44959</v>
          </cell>
          <cell r="U765">
            <v>5</v>
          </cell>
        </row>
        <row r="766">
          <cell r="T766">
            <v>44960</v>
          </cell>
          <cell r="U766">
            <v>5</v>
          </cell>
        </row>
        <row r="767">
          <cell r="T767">
            <v>44961</v>
          </cell>
          <cell r="U767">
            <v>5</v>
          </cell>
        </row>
        <row r="768">
          <cell r="T768">
            <v>44962</v>
          </cell>
          <cell r="U768">
            <v>6</v>
          </cell>
        </row>
        <row r="769">
          <cell r="T769">
            <v>44963</v>
          </cell>
          <cell r="U769">
            <v>6</v>
          </cell>
        </row>
        <row r="770">
          <cell r="T770">
            <v>44964</v>
          </cell>
          <cell r="U770">
            <v>6</v>
          </cell>
        </row>
        <row r="771">
          <cell r="T771">
            <v>44965</v>
          </cell>
          <cell r="U771">
            <v>6</v>
          </cell>
        </row>
        <row r="772">
          <cell r="T772">
            <v>44966</v>
          </cell>
          <cell r="U772">
            <v>6</v>
          </cell>
        </row>
        <row r="773">
          <cell r="T773">
            <v>44967</v>
          </cell>
          <cell r="U773">
            <v>6</v>
          </cell>
        </row>
        <row r="774">
          <cell r="T774">
            <v>44968</v>
          </cell>
          <cell r="U774">
            <v>6</v>
          </cell>
        </row>
        <row r="775">
          <cell r="T775">
            <v>44969</v>
          </cell>
          <cell r="U775">
            <v>7</v>
          </cell>
        </row>
        <row r="776">
          <cell r="T776">
            <v>44970</v>
          </cell>
          <cell r="U776">
            <v>7</v>
          </cell>
        </row>
        <row r="777">
          <cell r="T777">
            <v>44971</v>
          </cell>
          <cell r="U777">
            <v>7</v>
          </cell>
        </row>
        <row r="778">
          <cell r="T778">
            <v>44972</v>
          </cell>
          <cell r="U778">
            <v>7</v>
          </cell>
        </row>
        <row r="779">
          <cell r="T779">
            <v>44973</v>
          </cell>
          <cell r="U779">
            <v>7</v>
          </cell>
        </row>
        <row r="780">
          <cell r="T780">
            <v>44974</v>
          </cell>
          <cell r="U780">
            <v>7</v>
          </cell>
        </row>
        <row r="781">
          <cell r="T781">
            <v>44975</v>
          </cell>
          <cell r="U781">
            <v>7</v>
          </cell>
        </row>
        <row r="782">
          <cell r="T782">
            <v>44976</v>
          </cell>
          <cell r="U782">
            <v>8</v>
          </cell>
        </row>
        <row r="783">
          <cell r="T783">
            <v>44977</v>
          </cell>
          <cell r="U783">
            <v>8</v>
          </cell>
        </row>
        <row r="784">
          <cell r="T784">
            <v>44978</v>
          </cell>
          <cell r="U784">
            <v>8</v>
          </cell>
        </row>
        <row r="785">
          <cell r="T785">
            <v>44979</v>
          </cell>
          <cell r="U785">
            <v>8</v>
          </cell>
        </row>
        <row r="786">
          <cell r="T786">
            <v>44980</v>
          </cell>
          <cell r="U786">
            <v>8</v>
          </cell>
        </row>
        <row r="787">
          <cell r="T787">
            <v>44981</v>
          </cell>
          <cell r="U787">
            <v>8</v>
          </cell>
        </row>
        <row r="788">
          <cell r="T788">
            <v>44982</v>
          </cell>
          <cell r="U788">
            <v>8</v>
          </cell>
        </row>
        <row r="789">
          <cell r="T789">
            <v>44983</v>
          </cell>
          <cell r="U789">
            <v>9</v>
          </cell>
        </row>
        <row r="790">
          <cell r="T790">
            <v>44984</v>
          </cell>
          <cell r="U790">
            <v>9</v>
          </cell>
        </row>
        <row r="791">
          <cell r="T791">
            <v>44985</v>
          </cell>
          <cell r="U791">
            <v>9</v>
          </cell>
        </row>
        <row r="792">
          <cell r="T792">
            <v>44986</v>
          </cell>
          <cell r="U792">
            <v>9</v>
          </cell>
        </row>
        <row r="793">
          <cell r="T793">
            <v>44987</v>
          </cell>
          <cell r="U793">
            <v>9</v>
          </cell>
        </row>
        <row r="794">
          <cell r="T794">
            <v>44988</v>
          </cell>
          <cell r="U794">
            <v>9</v>
          </cell>
        </row>
        <row r="795">
          <cell r="T795">
            <v>44989</v>
          </cell>
          <cell r="U795">
            <v>9</v>
          </cell>
        </row>
        <row r="796">
          <cell r="T796">
            <v>44990</v>
          </cell>
          <cell r="U796">
            <v>10</v>
          </cell>
        </row>
        <row r="797">
          <cell r="T797">
            <v>44991</v>
          </cell>
          <cell r="U797">
            <v>10</v>
          </cell>
        </row>
        <row r="798">
          <cell r="T798">
            <v>44992</v>
          </cell>
          <cell r="U798">
            <v>10</v>
          </cell>
        </row>
        <row r="799">
          <cell r="T799">
            <v>44993</v>
          </cell>
          <cell r="U799">
            <v>10</v>
          </cell>
        </row>
        <row r="800">
          <cell r="T800">
            <v>44994</v>
          </cell>
          <cell r="U800">
            <v>10</v>
          </cell>
        </row>
        <row r="801">
          <cell r="T801">
            <v>44995</v>
          </cell>
          <cell r="U801">
            <v>10</v>
          </cell>
        </row>
        <row r="802">
          <cell r="T802">
            <v>44996</v>
          </cell>
          <cell r="U802">
            <v>10</v>
          </cell>
        </row>
        <row r="803">
          <cell r="T803">
            <v>44997</v>
          </cell>
          <cell r="U803">
            <v>11</v>
          </cell>
        </row>
        <row r="804">
          <cell r="T804">
            <v>44998</v>
          </cell>
          <cell r="U804">
            <v>11</v>
          </cell>
        </row>
        <row r="805">
          <cell r="T805">
            <v>44999</v>
          </cell>
          <cell r="U805">
            <v>11</v>
          </cell>
        </row>
        <row r="806">
          <cell r="T806">
            <v>45000</v>
          </cell>
          <cell r="U806">
            <v>11</v>
          </cell>
        </row>
        <row r="807">
          <cell r="T807">
            <v>45001</v>
          </cell>
          <cell r="U807">
            <v>11</v>
          </cell>
        </row>
        <row r="808">
          <cell r="T808">
            <v>45002</v>
          </cell>
          <cell r="U808">
            <v>11</v>
          </cell>
        </row>
        <row r="809">
          <cell r="T809">
            <v>45003</v>
          </cell>
          <cell r="U809">
            <v>11</v>
          </cell>
        </row>
        <row r="810">
          <cell r="T810">
            <v>45004</v>
          </cell>
          <cell r="U810">
            <v>12</v>
          </cell>
        </row>
        <row r="811">
          <cell r="T811">
            <v>45005</v>
          </cell>
          <cell r="U811">
            <v>12</v>
          </cell>
        </row>
        <row r="812">
          <cell r="T812">
            <v>45006</v>
          </cell>
          <cell r="U812">
            <v>12</v>
          </cell>
        </row>
        <row r="813">
          <cell r="T813">
            <v>45007</v>
          </cell>
          <cell r="U813">
            <v>12</v>
          </cell>
        </row>
        <row r="814">
          <cell r="T814">
            <v>45008</v>
          </cell>
          <cell r="U814">
            <v>12</v>
          </cell>
        </row>
        <row r="815">
          <cell r="T815">
            <v>45009</v>
          </cell>
          <cell r="U815">
            <v>12</v>
          </cell>
        </row>
        <row r="816">
          <cell r="T816">
            <v>45010</v>
          </cell>
          <cell r="U816">
            <v>12</v>
          </cell>
        </row>
        <row r="817">
          <cell r="T817">
            <v>45011</v>
          </cell>
          <cell r="U817">
            <v>13</v>
          </cell>
        </row>
        <row r="818">
          <cell r="T818">
            <v>45012</v>
          </cell>
          <cell r="U818">
            <v>13</v>
          </cell>
        </row>
        <row r="819">
          <cell r="T819">
            <v>45013</v>
          </cell>
          <cell r="U819">
            <v>13</v>
          </cell>
        </row>
        <row r="820">
          <cell r="T820">
            <v>45014</v>
          </cell>
          <cell r="U820">
            <v>13</v>
          </cell>
        </row>
        <row r="821">
          <cell r="T821">
            <v>45015</v>
          </cell>
          <cell r="U821">
            <v>13</v>
          </cell>
        </row>
        <row r="822">
          <cell r="T822">
            <v>45016</v>
          </cell>
          <cell r="U822">
            <v>13</v>
          </cell>
        </row>
        <row r="823">
          <cell r="T823">
            <v>45017</v>
          </cell>
          <cell r="U823">
            <v>13</v>
          </cell>
        </row>
        <row r="824">
          <cell r="T824">
            <v>45018</v>
          </cell>
          <cell r="U824">
            <v>14</v>
          </cell>
        </row>
        <row r="825">
          <cell r="T825">
            <v>45019</v>
          </cell>
          <cell r="U825">
            <v>14</v>
          </cell>
        </row>
        <row r="826">
          <cell r="T826">
            <v>45020</v>
          </cell>
          <cell r="U826">
            <v>14</v>
          </cell>
        </row>
        <row r="827">
          <cell r="T827">
            <v>45021</v>
          </cell>
          <cell r="U827">
            <v>14</v>
          </cell>
        </row>
        <row r="828">
          <cell r="T828">
            <v>45022</v>
          </cell>
          <cell r="U828">
            <v>14</v>
          </cell>
        </row>
        <row r="829">
          <cell r="T829">
            <v>45023</v>
          </cell>
          <cell r="U829">
            <v>14</v>
          </cell>
        </row>
        <row r="830">
          <cell r="T830">
            <v>45024</v>
          </cell>
          <cell r="U830">
            <v>14</v>
          </cell>
        </row>
        <row r="831">
          <cell r="T831">
            <v>45025</v>
          </cell>
          <cell r="U831">
            <v>15</v>
          </cell>
        </row>
        <row r="832">
          <cell r="T832">
            <v>45026</v>
          </cell>
          <cell r="U832">
            <v>15</v>
          </cell>
        </row>
        <row r="833">
          <cell r="T833">
            <v>45027</v>
          </cell>
          <cell r="U833">
            <v>15</v>
          </cell>
        </row>
        <row r="834">
          <cell r="T834">
            <v>45028</v>
          </cell>
          <cell r="U834">
            <v>15</v>
          </cell>
        </row>
        <row r="835">
          <cell r="T835">
            <v>45029</v>
          </cell>
          <cell r="U835">
            <v>15</v>
          </cell>
        </row>
        <row r="836">
          <cell r="T836">
            <v>45030</v>
          </cell>
          <cell r="U836">
            <v>15</v>
          </cell>
        </row>
        <row r="837">
          <cell r="T837">
            <v>45031</v>
          </cell>
          <cell r="U837">
            <v>15</v>
          </cell>
        </row>
        <row r="838">
          <cell r="T838">
            <v>45032</v>
          </cell>
          <cell r="U838">
            <v>16</v>
          </cell>
        </row>
        <row r="839">
          <cell r="T839">
            <v>45033</v>
          </cell>
          <cell r="U839">
            <v>16</v>
          </cell>
        </row>
        <row r="840">
          <cell r="T840">
            <v>45034</v>
          </cell>
          <cell r="U840">
            <v>16</v>
          </cell>
        </row>
        <row r="841">
          <cell r="T841">
            <v>45035</v>
          </cell>
          <cell r="U841">
            <v>16</v>
          </cell>
        </row>
        <row r="842">
          <cell r="T842">
            <v>45036</v>
          </cell>
          <cell r="U842">
            <v>16</v>
          </cell>
        </row>
        <row r="843">
          <cell r="T843">
            <v>45037</v>
          </cell>
          <cell r="U843">
            <v>16</v>
          </cell>
        </row>
        <row r="844">
          <cell r="T844">
            <v>45038</v>
          </cell>
          <cell r="U844">
            <v>16</v>
          </cell>
        </row>
        <row r="845">
          <cell r="T845">
            <v>45039</v>
          </cell>
          <cell r="U845">
            <v>17</v>
          </cell>
        </row>
        <row r="846">
          <cell r="T846">
            <v>45040</v>
          </cell>
          <cell r="U846">
            <v>17</v>
          </cell>
        </row>
        <row r="847">
          <cell r="T847">
            <v>45041</v>
          </cell>
          <cell r="U847">
            <v>17</v>
          </cell>
        </row>
        <row r="848">
          <cell r="T848">
            <v>45042</v>
          </cell>
          <cell r="U848">
            <v>17</v>
          </cell>
        </row>
        <row r="849">
          <cell r="T849">
            <v>45043</v>
          </cell>
          <cell r="U849">
            <v>17</v>
          </cell>
        </row>
        <row r="850">
          <cell r="T850">
            <v>45044</v>
          </cell>
          <cell r="U850">
            <v>17</v>
          </cell>
        </row>
        <row r="851">
          <cell r="T851">
            <v>45045</v>
          </cell>
          <cell r="U851">
            <v>17</v>
          </cell>
        </row>
        <row r="852">
          <cell r="T852">
            <v>45046</v>
          </cell>
          <cell r="U852">
            <v>18</v>
          </cell>
        </row>
        <row r="853">
          <cell r="T853">
            <v>45047</v>
          </cell>
          <cell r="U853">
            <v>18</v>
          </cell>
        </row>
        <row r="854">
          <cell r="T854">
            <v>45048</v>
          </cell>
          <cell r="U854">
            <v>18</v>
          </cell>
        </row>
        <row r="855">
          <cell r="T855">
            <v>45049</v>
          </cell>
          <cell r="U855">
            <v>18</v>
          </cell>
        </row>
        <row r="856">
          <cell r="T856">
            <v>45050</v>
          </cell>
          <cell r="U856">
            <v>18</v>
          </cell>
        </row>
        <row r="857">
          <cell r="T857">
            <v>45051</v>
          </cell>
          <cell r="U857">
            <v>18</v>
          </cell>
        </row>
        <row r="858">
          <cell r="T858">
            <v>45052</v>
          </cell>
          <cell r="U858">
            <v>18</v>
          </cell>
        </row>
        <row r="859">
          <cell r="T859">
            <v>45053</v>
          </cell>
          <cell r="U859">
            <v>19</v>
          </cell>
        </row>
        <row r="860">
          <cell r="T860">
            <v>45054</v>
          </cell>
          <cell r="U860">
            <v>19</v>
          </cell>
        </row>
        <row r="861">
          <cell r="T861">
            <v>45055</v>
          </cell>
          <cell r="U861">
            <v>19</v>
          </cell>
        </row>
        <row r="862">
          <cell r="T862">
            <v>45056</v>
          </cell>
          <cell r="U862">
            <v>19</v>
          </cell>
        </row>
        <row r="863">
          <cell r="T863">
            <v>45057</v>
          </cell>
          <cell r="U863">
            <v>19</v>
          </cell>
        </row>
        <row r="864">
          <cell r="T864">
            <v>45058</v>
          </cell>
          <cell r="U864">
            <v>19</v>
          </cell>
        </row>
        <row r="865">
          <cell r="T865">
            <v>45059</v>
          </cell>
          <cell r="U865">
            <v>19</v>
          </cell>
        </row>
        <row r="866">
          <cell r="T866">
            <v>45060</v>
          </cell>
          <cell r="U866">
            <v>20</v>
          </cell>
        </row>
        <row r="867">
          <cell r="T867">
            <v>45061</v>
          </cell>
          <cell r="U867">
            <v>20</v>
          </cell>
        </row>
        <row r="868">
          <cell r="T868">
            <v>45062</v>
          </cell>
          <cell r="U868">
            <v>20</v>
          </cell>
        </row>
        <row r="869">
          <cell r="T869">
            <v>45063</v>
          </cell>
          <cell r="U869">
            <v>20</v>
          </cell>
        </row>
        <row r="870">
          <cell r="T870">
            <v>45064</v>
          </cell>
          <cell r="U870">
            <v>20</v>
          </cell>
        </row>
        <row r="871">
          <cell r="T871">
            <v>45065</v>
          </cell>
          <cell r="U871">
            <v>20</v>
          </cell>
        </row>
        <row r="872">
          <cell r="T872">
            <v>45066</v>
          </cell>
          <cell r="U872">
            <v>20</v>
          </cell>
        </row>
        <row r="873">
          <cell r="T873">
            <v>45067</v>
          </cell>
          <cell r="U873">
            <v>21</v>
          </cell>
        </row>
        <row r="874">
          <cell r="T874">
            <v>45068</v>
          </cell>
          <cell r="U874">
            <v>21</v>
          </cell>
        </row>
        <row r="875">
          <cell r="T875">
            <v>45069</v>
          </cell>
          <cell r="U875">
            <v>21</v>
          </cell>
        </row>
        <row r="876">
          <cell r="T876">
            <v>45070</v>
          </cell>
          <cell r="U876">
            <v>21</v>
          </cell>
        </row>
        <row r="877">
          <cell r="T877">
            <v>45071</v>
          </cell>
          <cell r="U877">
            <v>21</v>
          </cell>
        </row>
        <row r="878">
          <cell r="T878">
            <v>45072</v>
          </cell>
          <cell r="U878">
            <v>21</v>
          </cell>
        </row>
        <row r="879">
          <cell r="T879">
            <v>45073</v>
          </cell>
          <cell r="U879">
            <v>21</v>
          </cell>
        </row>
        <row r="880">
          <cell r="T880">
            <v>45074</v>
          </cell>
          <cell r="U880">
            <v>22</v>
          </cell>
        </row>
        <row r="881">
          <cell r="T881">
            <v>45075</v>
          </cell>
          <cell r="U881">
            <v>22</v>
          </cell>
        </row>
        <row r="882">
          <cell r="T882">
            <v>45076</v>
          </cell>
          <cell r="U882">
            <v>22</v>
          </cell>
        </row>
        <row r="883">
          <cell r="T883">
            <v>45077</v>
          </cell>
          <cell r="U883">
            <v>22</v>
          </cell>
        </row>
        <row r="884">
          <cell r="T884">
            <v>45078</v>
          </cell>
          <cell r="U884">
            <v>22</v>
          </cell>
        </row>
        <row r="885">
          <cell r="T885">
            <v>45079</v>
          </cell>
          <cell r="U885">
            <v>22</v>
          </cell>
        </row>
        <row r="886">
          <cell r="T886">
            <v>45080</v>
          </cell>
          <cell r="U886">
            <v>22</v>
          </cell>
        </row>
        <row r="887">
          <cell r="T887">
            <v>45081</v>
          </cell>
          <cell r="U887">
            <v>23</v>
          </cell>
        </row>
        <row r="888">
          <cell r="T888">
            <v>45082</v>
          </cell>
          <cell r="U888">
            <v>23</v>
          </cell>
        </row>
        <row r="889">
          <cell r="T889">
            <v>45083</v>
          </cell>
          <cell r="U889">
            <v>23</v>
          </cell>
        </row>
        <row r="890">
          <cell r="T890">
            <v>45084</v>
          </cell>
          <cell r="U890">
            <v>23</v>
          </cell>
        </row>
        <row r="891">
          <cell r="T891">
            <v>45085</v>
          </cell>
          <cell r="U891">
            <v>23</v>
          </cell>
        </row>
        <row r="892">
          <cell r="T892">
            <v>45086</v>
          </cell>
          <cell r="U892">
            <v>23</v>
          </cell>
        </row>
        <row r="893">
          <cell r="T893">
            <v>45087</v>
          </cell>
          <cell r="U893">
            <v>23</v>
          </cell>
        </row>
        <row r="894">
          <cell r="T894">
            <v>45088</v>
          </cell>
          <cell r="U894">
            <v>24</v>
          </cell>
        </row>
        <row r="895">
          <cell r="T895">
            <v>45089</v>
          </cell>
          <cell r="U895">
            <v>24</v>
          </cell>
        </row>
        <row r="896">
          <cell r="T896">
            <v>45090</v>
          </cell>
          <cell r="U896">
            <v>24</v>
          </cell>
        </row>
        <row r="897">
          <cell r="T897">
            <v>45091</v>
          </cell>
          <cell r="U897">
            <v>24</v>
          </cell>
        </row>
        <row r="898">
          <cell r="T898">
            <v>45092</v>
          </cell>
          <cell r="U898">
            <v>24</v>
          </cell>
        </row>
        <row r="899">
          <cell r="T899">
            <v>45093</v>
          </cell>
          <cell r="U899">
            <v>24</v>
          </cell>
        </row>
        <row r="900">
          <cell r="T900">
            <v>45094</v>
          </cell>
          <cell r="U900">
            <v>24</v>
          </cell>
        </row>
        <row r="901">
          <cell r="T901">
            <v>45095</v>
          </cell>
          <cell r="U901">
            <v>25</v>
          </cell>
        </row>
        <row r="902">
          <cell r="T902">
            <v>45096</v>
          </cell>
          <cell r="U902">
            <v>25</v>
          </cell>
        </row>
        <row r="903">
          <cell r="T903">
            <v>45097</v>
          </cell>
          <cell r="U903">
            <v>25</v>
          </cell>
        </row>
        <row r="904">
          <cell r="T904">
            <v>45098</v>
          </cell>
          <cell r="U904">
            <v>25</v>
          </cell>
        </row>
        <row r="905">
          <cell r="T905">
            <v>45099</v>
          </cell>
          <cell r="U905">
            <v>25</v>
          </cell>
        </row>
        <row r="906">
          <cell r="T906">
            <v>45100</v>
          </cell>
          <cell r="U906">
            <v>25</v>
          </cell>
        </row>
        <row r="907">
          <cell r="T907">
            <v>45101</v>
          </cell>
          <cell r="U907">
            <v>25</v>
          </cell>
        </row>
        <row r="908">
          <cell r="T908">
            <v>45102</v>
          </cell>
          <cell r="U908">
            <v>26</v>
          </cell>
        </row>
        <row r="909">
          <cell r="T909">
            <v>45103</v>
          </cell>
          <cell r="U909">
            <v>26</v>
          </cell>
        </row>
        <row r="910">
          <cell r="T910">
            <v>45104</v>
          </cell>
          <cell r="U910">
            <v>26</v>
          </cell>
        </row>
        <row r="911">
          <cell r="T911">
            <v>45105</v>
          </cell>
          <cell r="U911">
            <v>26</v>
          </cell>
        </row>
        <row r="912">
          <cell r="T912">
            <v>45106</v>
          </cell>
          <cell r="U912">
            <v>26</v>
          </cell>
        </row>
        <row r="913">
          <cell r="T913">
            <v>45107</v>
          </cell>
          <cell r="U913">
            <v>26</v>
          </cell>
        </row>
        <row r="914">
          <cell r="T914">
            <v>45108</v>
          </cell>
          <cell r="U914">
            <v>26</v>
          </cell>
        </row>
        <row r="915">
          <cell r="T915">
            <v>45109</v>
          </cell>
          <cell r="U915">
            <v>27</v>
          </cell>
        </row>
        <row r="916">
          <cell r="T916">
            <v>45110</v>
          </cell>
          <cell r="U916">
            <v>27</v>
          </cell>
        </row>
        <row r="917">
          <cell r="T917">
            <v>45111</v>
          </cell>
          <cell r="U917">
            <v>27</v>
          </cell>
        </row>
        <row r="918">
          <cell r="T918">
            <v>45112</v>
          </cell>
          <cell r="U918">
            <v>27</v>
          </cell>
        </row>
        <row r="919">
          <cell r="T919">
            <v>45113</v>
          </cell>
          <cell r="U919">
            <v>27</v>
          </cell>
        </row>
        <row r="920">
          <cell r="T920">
            <v>45114</v>
          </cell>
          <cell r="U920">
            <v>27</v>
          </cell>
        </row>
        <row r="921">
          <cell r="T921">
            <v>45115</v>
          </cell>
          <cell r="U921">
            <v>27</v>
          </cell>
        </row>
        <row r="922">
          <cell r="T922">
            <v>45116</v>
          </cell>
          <cell r="U922">
            <v>28</v>
          </cell>
        </row>
        <row r="923">
          <cell r="T923">
            <v>45117</v>
          </cell>
          <cell r="U923">
            <v>28</v>
          </cell>
        </row>
        <row r="924">
          <cell r="T924">
            <v>45118</v>
          </cell>
          <cell r="U924">
            <v>28</v>
          </cell>
        </row>
        <row r="925">
          <cell r="T925">
            <v>45119</v>
          </cell>
          <cell r="U925">
            <v>28</v>
          </cell>
        </row>
        <row r="926">
          <cell r="T926">
            <v>45120</v>
          </cell>
          <cell r="U926">
            <v>28</v>
          </cell>
        </row>
        <row r="927">
          <cell r="T927">
            <v>45121</v>
          </cell>
          <cell r="U927">
            <v>28</v>
          </cell>
        </row>
        <row r="928">
          <cell r="T928">
            <v>45122</v>
          </cell>
          <cell r="U928">
            <v>28</v>
          </cell>
        </row>
        <row r="929">
          <cell r="T929">
            <v>45123</v>
          </cell>
          <cell r="U929">
            <v>29</v>
          </cell>
        </row>
        <row r="930">
          <cell r="T930">
            <v>45124</v>
          </cell>
          <cell r="U930">
            <v>29</v>
          </cell>
        </row>
        <row r="931">
          <cell r="T931">
            <v>45125</v>
          </cell>
          <cell r="U931">
            <v>29</v>
          </cell>
        </row>
        <row r="932">
          <cell r="T932">
            <v>45126</v>
          </cell>
          <cell r="U932">
            <v>29</v>
          </cell>
        </row>
        <row r="933">
          <cell r="T933">
            <v>45127</v>
          </cell>
          <cell r="U933">
            <v>29</v>
          </cell>
        </row>
        <row r="934">
          <cell r="T934">
            <v>45128</v>
          </cell>
          <cell r="U934">
            <v>29</v>
          </cell>
        </row>
        <row r="935">
          <cell r="T935">
            <v>45129</v>
          </cell>
          <cell r="U935">
            <v>29</v>
          </cell>
        </row>
        <row r="936">
          <cell r="T936">
            <v>45130</v>
          </cell>
          <cell r="U936">
            <v>30</v>
          </cell>
        </row>
        <row r="937">
          <cell r="T937">
            <v>45131</v>
          </cell>
          <cell r="U937">
            <v>30</v>
          </cell>
        </row>
        <row r="938">
          <cell r="T938">
            <v>45132</v>
          </cell>
          <cell r="U938">
            <v>30</v>
          </cell>
        </row>
        <row r="939">
          <cell r="T939">
            <v>45133</v>
          </cell>
          <cell r="U939">
            <v>30</v>
          </cell>
        </row>
        <row r="940">
          <cell r="T940">
            <v>45134</v>
          </cell>
          <cell r="U940">
            <v>30</v>
          </cell>
        </row>
        <row r="941">
          <cell r="T941">
            <v>45135</v>
          </cell>
          <cell r="U941">
            <v>30</v>
          </cell>
        </row>
        <row r="942">
          <cell r="T942">
            <v>45136</v>
          </cell>
          <cell r="U942">
            <v>30</v>
          </cell>
        </row>
        <row r="943">
          <cell r="T943">
            <v>45137</v>
          </cell>
          <cell r="U943">
            <v>31</v>
          </cell>
        </row>
        <row r="944">
          <cell r="T944">
            <v>45138</v>
          </cell>
          <cell r="U944">
            <v>31</v>
          </cell>
        </row>
        <row r="945">
          <cell r="T945">
            <v>45139</v>
          </cell>
          <cell r="U945">
            <v>31</v>
          </cell>
        </row>
        <row r="946">
          <cell r="T946">
            <v>45140</v>
          </cell>
          <cell r="U946">
            <v>31</v>
          </cell>
        </row>
        <row r="947">
          <cell r="T947">
            <v>45141</v>
          </cell>
          <cell r="U947">
            <v>31</v>
          </cell>
        </row>
        <row r="948">
          <cell r="T948">
            <v>45142</v>
          </cell>
          <cell r="U948">
            <v>31</v>
          </cell>
        </row>
        <row r="949">
          <cell r="T949">
            <v>45143</v>
          </cell>
          <cell r="U949">
            <v>31</v>
          </cell>
        </row>
        <row r="950">
          <cell r="T950">
            <v>45144</v>
          </cell>
          <cell r="U950">
            <v>32</v>
          </cell>
        </row>
        <row r="951">
          <cell r="T951">
            <v>45145</v>
          </cell>
          <cell r="U951">
            <v>32</v>
          </cell>
        </row>
        <row r="952">
          <cell r="T952">
            <v>45146</v>
          </cell>
          <cell r="U952">
            <v>32</v>
          </cell>
        </row>
        <row r="953">
          <cell r="T953">
            <v>45147</v>
          </cell>
          <cell r="U953">
            <v>32</v>
          </cell>
        </row>
        <row r="954">
          <cell r="T954">
            <v>45148</v>
          </cell>
          <cell r="U954">
            <v>32</v>
          </cell>
        </row>
        <row r="955">
          <cell r="T955">
            <v>45149</v>
          </cell>
          <cell r="U955">
            <v>32</v>
          </cell>
        </row>
        <row r="956">
          <cell r="T956">
            <v>45150</v>
          </cell>
          <cell r="U956">
            <v>32</v>
          </cell>
        </row>
        <row r="957">
          <cell r="T957">
            <v>45151</v>
          </cell>
          <cell r="U957">
            <v>33</v>
          </cell>
        </row>
        <row r="958">
          <cell r="T958">
            <v>45152</v>
          </cell>
          <cell r="U958">
            <v>33</v>
          </cell>
        </row>
        <row r="959">
          <cell r="T959">
            <v>45153</v>
          </cell>
          <cell r="U959">
            <v>33</v>
          </cell>
        </row>
        <row r="960">
          <cell r="T960">
            <v>45154</v>
          </cell>
          <cell r="U960">
            <v>33</v>
          </cell>
        </row>
        <row r="961">
          <cell r="T961">
            <v>45155</v>
          </cell>
          <cell r="U961">
            <v>33</v>
          </cell>
        </row>
        <row r="962">
          <cell r="T962">
            <v>45156</v>
          </cell>
          <cell r="U962">
            <v>33</v>
          </cell>
        </row>
        <row r="963">
          <cell r="T963">
            <v>45157</v>
          </cell>
          <cell r="U963">
            <v>33</v>
          </cell>
        </row>
        <row r="964">
          <cell r="T964">
            <v>45158</v>
          </cell>
          <cell r="U964">
            <v>34</v>
          </cell>
        </row>
        <row r="965">
          <cell r="T965">
            <v>45159</v>
          </cell>
          <cell r="U965">
            <v>34</v>
          </cell>
        </row>
        <row r="966">
          <cell r="T966">
            <v>45160</v>
          </cell>
          <cell r="U966">
            <v>34</v>
          </cell>
        </row>
        <row r="967">
          <cell r="T967">
            <v>45161</v>
          </cell>
          <cell r="U967">
            <v>34</v>
          </cell>
        </row>
        <row r="968">
          <cell r="T968">
            <v>45162</v>
          </cell>
          <cell r="U968">
            <v>34</v>
          </cell>
        </row>
        <row r="969">
          <cell r="T969">
            <v>45163</v>
          </cell>
          <cell r="U969">
            <v>34</v>
          </cell>
        </row>
        <row r="970">
          <cell r="T970">
            <v>45164</v>
          </cell>
          <cell r="U970">
            <v>34</v>
          </cell>
        </row>
        <row r="971">
          <cell r="T971">
            <v>45165</v>
          </cell>
          <cell r="U971">
            <v>35</v>
          </cell>
        </row>
        <row r="972">
          <cell r="T972">
            <v>45166</v>
          </cell>
          <cell r="U972">
            <v>35</v>
          </cell>
        </row>
        <row r="973">
          <cell r="T973">
            <v>45167</v>
          </cell>
          <cell r="U973">
            <v>35</v>
          </cell>
        </row>
        <row r="974">
          <cell r="T974">
            <v>45168</v>
          </cell>
          <cell r="U974">
            <v>35</v>
          </cell>
        </row>
        <row r="975">
          <cell r="T975">
            <v>45169</v>
          </cell>
          <cell r="U975">
            <v>35</v>
          </cell>
        </row>
        <row r="976">
          <cell r="T976">
            <v>45170</v>
          </cell>
          <cell r="U976">
            <v>35</v>
          </cell>
        </row>
        <row r="977">
          <cell r="T977">
            <v>45171</v>
          </cell>
          <cell r="U977">
            <v>35</v>
          </cell>
        </row>
        <row r="978">
          <cell r="T978">
            <v>45172</v>
          </cell>
          <cell r="U978">
            <v>36</v>
          </cell>
        </row>
        <row r="979">
          <cell r="T979">
            <v>45173</v>
          </cell>
          <cell r="U979">
            <v>36</v>
          </cell>
        </row>
        <row r="980">
          <cell r="T980">
            <v>45174</v>
          </cell>
          <cell r="U980">
            <v>36</v>
          </cell>
        </row>
        <row r="981">
          <cell r="T981">
            <v>45175</v>
          </cell>
          <cell r="U981">
            <v>36</v>
          </cell>
        </row>
        <row r="982">
          <cell r="T982">
            <v>45176</v>
          </cell>
          <cell r="U982">
            <v>36</v>
          </cell>
        </row>
        <row r="983">
          <cell r="T983">
            <v>45177</v>
          </cell>
          <cell r="U983">
            <v>36</v>
          </cell>
        </row>
        <row r="984">
          <cell r="T984">
            <v>45178</v>
          </cell>
          <cell r="U984">
            <v>36</v>
          </cell>
        </row>
        <row r="985">
          <cell r="T985">
            <v>45179</v>
          </cell>
          <cell r="U985">
            <v>37</v>
          </cell>
        </row>
        <row r="986">
          <cell r="T986">
            <v>45180</v>
          </cell>
          <cell r="U986">
            <v>37</v>
          </cell>
        </row>
        <row r="987">
          <cell r="T987">
            <v>45181</v>
          </cell>
          <cell r="U987">
            <v>37</v>
          </cell>
        </row>
        <row r="988">
          <cell r="T988">
            <v>45182</v>
          </cell>
          <cell r="U988">
            <v>37</v>
          </cell>
        </row>
        <row r="989">
          <cell r="T989">
            <v>45183</v>
          </cell>
          <cell r="U989">
            <v>37</v>
          </cell>
        </row>
        <row r="990">
          <cell r="T990">
            <v>45184</v>
          </cell>
          <cell r="U990">
            <v>37</v>
          </cell>
        </row>
        <row r="991">
          <cell r="T991">
            <v>45185</v>
          </cell>
          <cell r="U991">
            <v>37</v>
          </cell>
        </row>
        <row r="992">
          <cell r="T992">
            <v>45186</v>
          </cell>
          <cell r="U992">
            <v>38</v>
          </cell>
        </row>
        <row r="993">
          <cell r="T993">
            <v>45187</v>
          </cell>
          <cell r="U993">
            <v>38</v>
          </cell>
        </row>
        <row r="994">
          <cell r="T994">
            <v>45188</v>
          </cell>
          <cell r="U994">
            <v>38</v>
          </cell>
        </row>
        <row r="995">
          <cell r="T995">
            <v>45189</v>
          </cell>
          <cell r="U995">
            <v>38</v>
          </cell>
        </row>
        <row r="996">
          <cell r="T996">
            <v>45190</v>
          </cell>
          <cell r="U996">
            <v>38</v>
          </cell>
        </row>
        <row r="997">
          <cell r="T997">
            <v>45191</v>
          </cell>
          <cell r="U997">
            <v>38</v>
          </cell>
        </row>
        <row r="998">
          <cell r="T998">
            <v>45192</v>
          </cell>
          <cell r="U998">
            <v>38</v>
          </cell>
        </row>
        <row r="999">
          <cell r="T999">
            <v>45193</v>
          </cell>
          <cell r="U999">
            <v>39</v>
          </cell>
        </row>
        <row r="1000">
          <cell r="T1000">
            <v>45194</v>
          </cell>
          <cell r="U1000">
            <v>39</v>
          </cell>
        </row>
        <row r="1001">
          <cell r="T1001">
            <v>45195</v>
          </cell>
          <cell r="U1001">
            <v>39</v>
          </cell>
        </row>
        <row r="1002">
          <cell r="T1002">
            <v>45196</v>
          </cell>
          <cell r="U1002">
            <v>39</v>
          </cell>
        </row>
        <row r="1003">
          <cell r="T1003">
            <v>45197</v>
          </cell>
          <cell r="U1003">
            <v>39</v>
          </cell>
        </row>
        <row r="1004">
          <cell r="T1004">
            <v>45198</v>
          </cell>
          <cell r="U1004">
            <v>39</v>
          </cell>
        </row>
        <row r="1005">
          <cell r="T1005">
            <v>45199</v>
          </cell>
          <cell r="U1005">
            <v>39</v>
          </cell>
        </row>
        <row r="1006">
          <cell r="T1006">
            <v>45200</v>
          </cell>
          <cell r="U1006">
            <v>40</v>
          </cell>
        </row>
        <row r="1007">
          <cell r="T1007">
            <v>45201</v>
          </cell>
          <cell r="U1007">
            <v>40</v>
          </cell>
        </row>
        <row r="1008">
          <cell r="T1008">
            <v>45202</v>
          </cell>
          <cell r="U1008">
            <v>40</v>
          </cell>
        </row>
        <row r="1009">
          <cell r="T1009">
            <v>45203</v>
          </cell>
          <cell r="U1009">
            <v>40</v>
          </cell>
        </row>
        <row r="1010">
          <cell r="T1010">
            <v>45204</v>
          </cell>
          <cell r="U1010">
            <v>40</v>
          </cell>
        </row>
        <row r="1011">
          <cell r="T1011">
            <v>45205</v>
          </cell>
          <cell r="U1011">
            <v>40</v>
          </cell>
        </row>
        <row r="1012">
          <cell r="T1012">
            <v>45206</v>
          </cell>
          <cell r="U1012">
            <v>40</v>
          </cell>
        </row>
        <row r="1013">
          <cell r="T1013">
            <v>45207</v>
          </cell>
          <cell r="U1013">
            <v>41</v>
          </cell>
        </row>
        <row r="1014">
          <cell r="T1014">
            <v>45208</v>
          </cell>
          <cell r="U1014">
            <v>41</v>
          </cell>
        </row>
        <row r="1015">
          <cell r="T1015">
            <v>45209</v>
          </cell>
          <cell r="U1015">
            <v>41</v>
          </cell>
        </row>
        <row r="1016">
          <cell r="T1016">
            <v>45210</v>
          </cell>
          <cell r="U1016">
            <v>41</v>
          </cell>
        </row>
        <row r="1017">
          <cell r="T1017">
            <v>45211</v>
          </cell>
          <cell r="U1017">
            <v>41</v>
          </cell>
        </row>
        <row r="1018">
          <cell r="T1018">
            <v>45212</v>
          </cell>
          <cell r="U1018">
            <v>41</v>
          </cell>
        </row>
        <row r="1019">
          <cell r="T1019">
            <v>45213</v>
          </cell>
          <cell r="U1019">
            <v>41</v>
          </cell>
        </row>
        <row r="1020">
          <cell r="T1020">
            <v>45214</v>
          </cell>
          <cell r="U1020">
            <v>42</v>
          </cell>
        </row>
        <row r="1021">
          <cell r="T1021">
            <v>45215</v>
          </cell>
          <cell r="U1021">
            <v>42</v>
          </cell>
        </row>
        <row r="1022">
          <cell r="T1022">
            <v>45216</v>
          </cell>
          <cell r="U1022">
            <v>42</v>
          </cell>
        </row>
        <row r="1023">
          <cell r="T1023">
            <v>45217</v>
          </cell>
          <cell r="U1023">
            <v>42</v>
          </cell>
        </row>
        <row r="1024">
          <cell r="T1024">
            <v>45218</v>
          </cell>
          <cell r="U1024">
            <v>42</v>
          </cell>
        </row>
        <row r="1025">
          <cell r="T1025">
            <v>45219</v>
          </cell>
          <cell r="U1025">
            <v>42</v>
          </cell>
        </row>
        <row r="1026">
          <cell r="T1026">
            <v>45220</v>
          </cell>
          <cell r="U1026">
            <v>42</v>
          </cell>
        </row>
        <row r="1027">
          <cell r="T1027">
            <v>45221</v>
          </cell>
          <cell r="U1027">
            <v>43</v>
          </cell>
        </row>
        <row r="1028">
          <cell r="T1028">
            <v>45222</v>
          </cell>
          <cell r="U1028">
            <v>43</v>
          </cell>
        </row>
        <row r="1029">
          <cell r="T1029">
            <v>45223</v>
          </cell>
          <cell r="U1029">
            <v>43</v>
          </cell>
        </row>
        <row r="1030">
          <cell r="T1030">
            <v>45224</v>
          </cell>
          <cell r="U1030">
            <v>43</v>
          </cell>
        </row>
        <row r="1031">
          <cell r="T1031">
            <v>45225</v>
          </cell>
          <cell r="U1031">
            <v>43</v>
          </cell>
        </row>
        <row r="1032">
          <cell r="T1032">
            <v>45226</v>
          </cell>
          <cell r="U1032">
            <v>43</v>
          </cell>
        </row>
        <row r="1033">
          <cell r="T1033">
            <v>45227</v>
          </cell>
          <cell r="U1033">
            <v>43</v>
          </cell>
        </row>
        <row r="1034">
          <cell r="T1034">
            <v>45228</v>
          </cell>
          <cell r="U1034">
            <v>44</v>
          </cell>
        </row>
        <row r="1035">
          <cell r="T1035">
            <v>45229</v>
          </cell>
          <cell r="U1035">
            <v>44</v>
          </cell>
        </row>
        <row r="1036">
          <cell r="T1036">
            <v>45230</v>
          </cell>
          <cell r="U1036">
            <v>44</v>
          </cell>
        </row>
        <row r="1037">
          <cell r="T1037">
            <v>45231</v>
          </cell>
          <cell r="U1037">
            <v>44</v>
          </cell>
        </row>
        <row r="1038">
          <cell r="T1038">
            <v>45232</v>
          </cell>
          <cell r="U1038">
            <v>44</v>
          </cell>
        </row>
        <row r="1039">
          <cell r="T1039">
            <v>45233</v>
          </cell>
          <cell r="U1039">
            <v>44</v>
          </cell>
        </row>
        <row r="1040">
          <cell r="T1040">
            <v>45234</v>
          </cell>
          <cell r="U1040">
            <v>44</v>
          </cell>
        </row>
        <row r="1041">
          <cell r="T1041">
            <v>45235</v>
          </cell>
          <cell r="U1041">
            <v>45</v>
          </cell>
        </row>
        <row r="1042">
          <cell r="T1042">
            <v>45236</v>
          </cell>
          <cell r="U1042">
            <v>45</v>
          </cell>
        </row>
        <row r="1043">
          <cell r="T1043">
            <v>45237</v>
          </cell>
          <cell r="U1043">
            <v>45</v>
          </cell>
        </row>
        <row r="1044">
          <cell r="T1044">
            <v>45238</v>
          </cell>
          <cell r="U1044">
            <v>45</v>
          </cell>
        </row>
        <row r="1045">
          <cell r="T1045">
            <v>45239</v>
          </cell>
          <cell r="U1045">
            <v>45</v>
          </cell>
        </row>
        <row r="1046">
          <cell r="T1046">
            <v>45240</v>
          </cell>
          <cell r="U1046">
            <v>45</v>
          </cell>
        </row>
        <row r="1047">
          <cell r="T1047">
            <v>45241</v>
          </cell>
          <cell r="U1047">
            <v>45</v>
          </cell>
        </row>
        <row r="1048">
          <cell r="T1048">
            <v>45242</v>
          </cell>
          <cell r="U1048">
            <v>46</v>
          </cell>
        </row>
        <row r="1049">
          <cell r="T1049">
            <v>45243</v>
          </cell>
          <cell r="U1049">
            <v>46</v>
          </cell>
        </row>
        <row r="1050">
          <cell r="T1050">
            <v>45244</v>
          </cell>
          <cell r="U1050">
            <v>46</v>
          </cell>
        </row>
        <row r="1051">
          <cell r="T1051">
            <v>45245</v>
          </cell>
          <cell r="U1051">
            <v>46</v>
          </cell>
        </row>
        <row r="1052">
          <cell r="T1052">
            <v>45246</v>
          </cell>
          <cell r="U1052">
            <v>46</v>
          </cell>
        </row>
        <row r="1053">
          <cell r="T1053">
            <v>45247</v>
          </cell>
          <cell r="U1053">
            <v>46</v>
          </cell>
        </row>
        <row r="1054">
          <cell r="T1054">
            <v>45248</v>
          </cell>
          <cell r="U1054">
            <v>46</v>
          </cell>
        </row>
        <row r="1055">
          <cell r="T1055">
            <v>45249</v>
          </cell>
          <cell r="U1055">
            <v>47</v>
          </cell>
        </row>
        <row r="1056">
          <cell r="T1056">
            <v>45250</v>
          </cell>
          <cell r="U1056">
            <v>47</v>
          </cell>
        </row>
        <row r="1057">
          <cell r="T1057">
            <v>45251</v>
          </cell>
          <cell r="U1057">
            <v>47</v>
          </cell>
        </row>
        <row r="1058">
          <cell r="T1058">
            <v>45252</v>
          </cell>
          <cell r="U1058">
            <v>47</v>
          </cell>
        </row>
        <row r="1059">
          <cell r="T1059">
            <v>45253</v>
          </cell>
          <cell r="U1059">
            <v>47</v>
          </cell>
        </row>
        <row r="1060">
          <cell r="T1060">
            <v>45254</v>
          </cell>
          <cell r="U1060">
            <v>47</v>
          </cell>
        </row>
        <row r="1061">
          <cell r="T1061">
            <v>45255</v>
          </cell>
          <cell r="U1061">
            <v>47</v>
          </cell>
        </row>
        <row r="1062">
          <cell r="T1062">
            <v>45256</v>
          </cell>
          <cell r="U1062">
            <v>48</v>
          </cell>
        </row>
        <row r="1063">
          <cell r="T1063">
            <v>45257</v>
          </cell>
          <cell r="U1063">
            <v>48</v>
          </cell>
        </row>
        <row r="1064">
          <cell r="T1064">
            <v>45258</v>
          </cell>
          <cell r="U1064">
            <v>48</v>
          </cell>
        </row>
        <row r="1065">
          <cell r="T1065">
            <v>45259</v>
          </cell>
          <cell r="U1065">
            <v>48</v>
          </cell>
        </row>
        <row r="1066">
          <cell r="T1066">
            <v>45260</v>
          </cell>
          <cell r="U1066">
            <v>48</v>
          </cell>
        </row>
        <row r="1067">
          <cell r="T1067">
            <v>45261</v>
          </cell>
          <cell r="U1067">
            <v>48</v>
          </cell>
        </row>
        <row r="1068">
          <cell r="T1068">
            <v>45262</v>
          </cell>
          <cell r="U1068">
            <v>48</v>
          </cell>
        </row>
        <row r="1069">
          <cell r="T1069">
            <v>45263</v>
          </cell>
          <cell r="U1069">
            <v>49</v>
          </cell>
        </row>
        <row r="1070">
          <cell r="T1070">
            <v>45264</v>
          </cell>
          <cell r="U1070">
            <v>49</v>
          </cell>
        </row>
        <row r="1071">
          <cell r="T1071">
            <v>45265</v>
          </cell>
          <cell r="U1071">
            <v>49</v>
          </cell>
        </row>
        <row r="1072">
          <cell r="T1072">
            <v>45266</v>
          </cell>
          <cell r="U1072">
            <v>49</v>
          </cell>
        </row>
        <row r="1073">
          <cell r="T1073">
            <v>45267</v>
          </cell>
          <cell r="U1073">
            <v>49</v>
          </cell>
        </row>
        <row r="1074">
          <cell r="T1074">
            <v>45268</v>
          </cell>
          <cell r="U1074">
            <v>49</v>
          </cell>
        </row>
        <row r="1075">
          <cell r="T1075">
            <v>45269</v>
          </cell>
          <cell r="U1075">
            <v>49</v>
          </cell>
        </row>
        <row r="1076">
          <cell r="T1076">
            <v>45270</v>
          </cell>
          <cell r="U1076">
            <v>50</v>
          </cell>
        </row>
        <row r="1077">
          <cell r="T1077">
            <v>45271</v>
          </cell>
          <cell r="U1077">
            <v>50</v>
          </cell>
        </row>
        <row r="1078">
          <cell r="T1078">
            <v>45272</v>
          </cell>
          <cell r="U1078">
            <v>50</v>
          </cell>
        </row>
        <row r="1079">
          <cell r="T1079">
            <v>45273</v>
          </cell>
          <cell r="U1079">
            <v>50</v>
          </cell>
        </row>
        <row r="1080">
          <cell r="T1080">
            <v>45274</v>
          </cell>
          <cell r="U1080">
            <v>50</v>
          </cell>
        </row>
        <row r="1081">
          <cell r="T1081">
            <v>45275</v>
          </cell>
          <cell r="U1081">
            <v>50</v>
          </cell>
        </row>
        <row r="1082">
          <cell r="T1082">
            <v>45276</v>
          </cell>
          <cell r="U1082">
            <v>50</v>
          </cell>
        </row>
        <row r="1083">
          <cell r="T1083">
            <v>45277</v>
          </cell>
          <cell r="U1083">
            <v>51</v>
          </cell>
        </row>
        <row r="1084">
          <cell r="T1084">
            <v>45278</v>
          </cell>
          <cell r="U1084">
            <v>51</v>
          </cell>
        </row>
        <row r="1085">
          <cell r="T1085">
            <v>45279</v>
          </cell>
          <cell r="U1085">
            <v>51</v>
          </cell>
        </row>
        <row r="1086">
          <cell r="T1086">
            <v>45280</v>
          </cell>
          <cell r="U1086">
            <v>51</v>
          </cell>
        </row>
        <row r="1087">
          <cell r="T1087">
            <v>45281</v>
          </cell>
          <cell r="U1087">
            <v>51</v>
          </cell>
        </row>
        <row r="1088">
          <cell r="T1088">
            <v>45282</v>
          </cell>
          <cell r="U1088">
            <v>51</v>
          </cell>
        </row>
        <row r="1089">
          <cell r="T1089">
            <v>45283</v>
          </cell>
          <cell r="U1089">
            <v>51</v>
          </cell>
        </row>
        <row r="1090">
          <cell r="T1090">
            <v>45284</v>
          </cell>
          <cell r="U1090">
            <v>52</v>
          </cell>
        </row>
        <row r="1091">
          <cell r="T1091">
            <v>45285</v>
          </cell>
          <cell r="U1091">
            <v>52</v>
          </cell>
        </row>
        <row r="1092">
          <cell r="T1092">
            <v>45286</v>
          </cell>
          <cell r="U1092">
            <v>52</v>
          </cell>
        </row>
        <row r="1093">
          <cell r="T1093">
            <v>45287</v>
          </cell>
          <cell r="U1093">
            <v>52</v>
          </cell>
        </row>
        <row r="1094">
          <cell r="T1094">
            <v>45288</v>
          </cell>
          <cell r="U1094">
            <v>52</v>
          </cell>
        </row>
        <row r="1095">
          <cell r="T1095">
            <v>45289</v>
          </cell>
          <cell r="U1095">
            <v>52</v>
          </cell>
        </row>
        <row r="1096">
          <cell r="T1096">
            <v>45290</v>
          </cell>
          <cell r="U1096">
            <v>52</v>
          </cell>
        </row>
        <row r="1097">
          <cell r="T1097">
            <v>45291</v>
          </cell>
          <cell r="U1097">
            <v>53</v>
          </cell>
        </row>
        <row r="1098">
          <cell r="T1098" t="str">
            <v>---</v>
          </cell>
        </row>
        <row r="1099">
          <cell r="T1099">
            <v>45292</v>
          </cell>
          <cell r="U1099">
            <v>1</v>
          </cell>
        </row>
        <row r="1100">
          <cell r="T1100">
            <v>45293</v>
          </cell>
          <cell r="U1100">
            <v>1</v>
          </cell>
        </row>
        <row r="1101">
          <cell r="T1101">
            <v>45294</v>
          </cell>
          <cell r="U1101">
            <v>1</v>
          </cell>
        </row>
        <row r="1102">
          <cell r="T1102">
            <v>45295</v>
          </cell>
          <cell r="U1102">
            <v>1</v>
          </cell>
        </row>
        <row r="1103">
          <cell r="T1103">
            <v>45296</v>
          </cell>
          <cell r="U1103">
            <v>1</v>
          </cell>
        </row>
        <row r="1104">
          <cell r="T1104">
            <v>45297</v>
          </cell>
          <cell r="U1104">
            <v>1</v>
          </cell>
        </row>
        <row r="1105">
          <cell r="T1105">
            <v>45298</v>
          </cell>
          <cell r="U1105">
            <v>2</v>
          </cell>
        </row>
        <row r="1106">
          <cell r="T1106">
            <v>45299</v>
          </cell>
          <cell r="U1106">
            <v>2</v>
          </cell>
        </row>
        <row r="1107">
          <cell r="T1107">
            <v>45300</v>
          </cell>
          <cell r="U1107">
            <v>2</v>
          </cell>
        </row>
        <row r="1108">
          <cell r="T1108">
            <v>45301</v>
          </cell>
          <cell r="U1108">
            <v>2</v>
          </cell>
        </row>
        <row r="1109">
          <cell r="T1109">
            <v>45302</v>
          </cell>
          <cell r="U1109">
            <v>2</v>
          </cell>
        </row>
        <row r="1110">
          <cell r="T1110">
            <v>45303</v>
          </cell>
          <cell r="U1110">
            <v>2</v>
          </cell>
        </row>
        <row r="1111">
          <cell r="T1111">
            <v>45304</v>
          </cell>
          <cell r="U1111">
            <v>2</v>
          </cell>
        </row>
        <row r="1112">
          <cell r="T1112">
            <v>45305</v>
          </cell>
          <cell r="U1112">
            <v>3</v>
          </cell>
        </row>
        <row r="1113">
          <cell r="T1113">
            <v>45306</v>
          </cell>
          <cell r="U1113">
            <v>3</v>
          </cell>
        </row>
        <row r="1114">
          <cell r="T1114">
            <v>45307</v>
          </cell>
          <cell r="U1114">
            <v>3</v>
          </cell>
        </row>
        <row r="1115">
          <cell r="T1115">
            <v>45308</v>
          </cell>
          <cell r="U1115">
            <v>3</v>
          </cell>
        </row>
        <row r="1116">
          <cell r="T1116">
            <v>45309</v>
          </cell>
          <cell r="U1116">
            <v>3</v>
          </cell>
        </row>
        <row r="1117">
          <cell r="T1117">
            <v>45310</v>
          </cell>
          <cell r="U1117">
            <v>3</v>
          </cell>
        </row>
        <row r="1118">
          <cell r="T1118">
            <v>45311</v>
          </cell>
          <cell r="U1118">
            <v>3</v>
          </cell>
        </row>
        <row r="1119">
          <cell r="T1119">
            <v>45312</v>
          </cell>
          <cell r="U1119">
            <v>4</v>
          </cell>
        </row>
        <row r="1120">
          <cell r="T1120">
            <v>45313</v>
          </cell>
          <cell r="U1120">
            <v>4</v>
          </cell>
        </row>
        <row r="1121">
          <cell r="T1121">
            <v>45314</v>
          </cell>
          <cell r="U1121">
            <v>4</v>
          </cell>
        </row>
        <row r="1122">
          <cell r="T1122">
            <v>45315</v>
          </cell>
          <cell r="U1122">
            <v>4</v>
          </cell>
        </row>
        <row r="1123">
          <cell r="T1123">
            <v>45316</v>
          </cell>
          <cell r="U1123">
            <v>4</v>
          </cell>
        </row>
        <row r="1124">
          <cell r="T1124">
            <v>45317</v>
          </cell>
          <cell r="U1124">
            <v>4</v>
          </cell>
        </row>
        <row r="1125">
          <cell r="T1125">
            <v>45318</v>
          </cell>
          <cell r="U1125">
            <v>4</v>
          </cell>
        </row>
        <row r="1126">
          <cell r="T1126">
            <v>45319</v>
          </cell>
          <cell r="U1126">
            <v>5</v>
          </cell>
        </row>
        <row r="1127">
          <cell r="T1127">
            <v>45320</v>
          </cell>
          <cell r="U1127">
            <v>5</v>
          </cell>
        </row>
        <row r="1128">
          <cell r="T1128">
            <v>45321</v>
          </cell>
          <cell r="U1128">
            <v>5</v>
          </cell>
        </row>
        <row r="1129">
          <cell r="T1129">
            <v>45322</v>
          </cell>
          <cell r="U1129">
            <v>5</v>
          </cell>
        </row>
        <row r="1130">
          <cell r="T1130">
            <v>45323</v>
          </cell>
          <cell r="U1130">
            <v>5</v>
          </cell>
        </row>
        <row r="1131">
          <cell r="T1131">
            <v>45324</v>
          </cell>
          <cell r="U1131">
            <v>5</v>
          </cell>
        </row>
        <row r="1132">
          <cell r="T1132">
            <v>45325</v>
          </cell>
          <cell r="U1132">
            <v>5</v>
          </cell>
        </row>
        <row r="1133">
          <cell r="T1133">
            <v>45326</v>
          </cell>
          <cell r="U1133">
            <v>6</v>
          </cell>
        </row>
        <row r="1134">
          <cell r="T1134">
            <v>45327</v>
          </cell>
          <cell r="U1134">
            <v>6</v>
          </cell>
        </row>
        <row r="1135">
          <cell r="T1135">
            <v>45328</v>
          </cell>
          <cell r="U1135">
            <v>6</v>
          </cell>
        </row>
        <row r="1136">
          <cell r="T1136">
            <v>45329</v>
          </cell>
          <cell r="U1136">
            <v>6</v>
          </cell>
        </row>
        <row r="1137">
          <cell r="T1137">
            <v>45330</v>
          </cell>
          <cell r="U1137">
            <v>6</v>
          </cell>
        </row>
        <row r="1138">
          <cell r="T1138">
            <v>45331</v>
          </cell>
          <cell r="U1138">
            <v>6</v>
          </cell>
        </row>
        <row r="1139">
          <cell r="T1139">
            <v>45332</v>
          </cell>
          <cell r="U1139">
            <v>6</v>
          </cell>
        </row>
        <row r="1140">
          <cell r="T1140">
            <v>45333</v>
          </cell>
          <cell r="U1140">
            <v>7</v>
          </cell>
        </row>
        <row r="1141">
          <cell r="T1141">
            <v>45334</v>
          </cell>
          <cell r="U1141">
            <v>7</v>
          </cell>
        </row>
        <row r="1142">
          <cell r="T1142">
            <v>45335</v>
          </cell>
          <cell r="U1142">
            <v>7</v>
          </cell>
        </row>
        <row r="1143">
          <cell r="T1143">
            <v>45336</v>
          </cell>
          <cell r="U1143">
            <v>7</v>
          </cell>
        </row>
        <row r="1144">
          <cell r="T1144">
            <v>45337</v>
          </cell>
          <cell r="U1144">
            <v>7</v>
          </cell>
        </row>
        <row r="1145">
          <cell r="T1145">
            <v>45338</v>
          </cell>
          <cell r="U1145">
            <v>7</v>
          </cell>
        </row>
        <row r="1146">
          <cell r="T1146">
            <v>45339</v>
          </cell>
          <cell r="U1146">
            <v>7</v>
          </cell>
        </row>
        <row r="1147">
          <cell r="T1147">
            <v>45340</v>
          </cell>
          <cell r="U1147">
            <v>8</v>
          </cell>
        </row>
        <row r="1148">
          <cell r="T1148">
            <v>45341</v>
          </cell>
          <cell r="U1148">
            <v>8</v>
          </cell>
        </row>
        <row r="1149">
          <cell r="T1149">
            <v>45342</v>
          </cell>
          <cell r="U1149">
            <v>8</v>
          </cell>
        </row>
        <row r="1150">
          <cell r="T1150">
            <v>45343</v>
          </cell>
          <cell r="U1150">
            <v>8</v>
          </cell>
        </row>
        <row r="1151">
          <cell r="T1151">
            <v>45344</v>
          </cell>
          <cell r="U1151">
            <v>8</v>
          </cell>
        </row>
        <row r="1152">
          <cell r="T1152">
            <v>45345</v>
          </cell>
          <cell r="U1152">
            <v>8</v>
          </cell>
        </row>
        <row r="1153">
          <cell r="T1153">
            <v>45346</v>
          </cell>
          <cell r="U1153">
            <v>8</v>
          </cell>
        </row>
        <row r="1154">
          <cell r="T1154">
            <v>45347</v>
          </cell>
          <cell r="U1154">
            <v>9</v>
          </cell>
        </row>
        <row r="1155">
          <cell r="T1155">
            <v>45348</v>
          </cell>
          <cell r="U1155">
            <v>9</v>
          </cell>
        </row>
        <row r="1156">
          <cell r="T1156">
            <v>45349</v>
          </cell>
          <cell r="U1156">
            <v>9</v>
          </cell>
        </row>
        <row r="1157">
          <cell r="T1157">
            <v>45350</v>
          </cell>
          <cell r="U1157">
            <v>9</v>
          </cell>
        </row>
        <row r="1158">
          <cell r="T1158">
            <v>45351</v>
          </cell>
          <cell r="U1158">
            <v>9</v>
          </cell>
        </row>
        <row r="1159">
          <cell r="T1159">
            <v>45352</v>
          </cell>
          <cell r="U1159">
            <v>9</v>
          </cell>
        </row>
        <row r="1160">
          <cell r="T1160">
            <v>45353</v>
          </cell>
          <cell r="U1160">
            <v>9</v>
          </cell>
        </row>
        <row r="1161">
          <cell r="T1161">
            <v>45354</v>
          </cell>
          <cell r="U1161">
            <v>10</v>
          </cell>
        </row>
        <row r="1162">
          <cell r="T1162">
            <v>45355</v>
          </cell>
          <cell r="U1162">
            <v>10</v>
          </cell>
        </row>
        <row r="1163">
          <cell r="T1163">
            <v>45356</v>
          </cell>
          <cell r="U1163">
            <v>10</v>
          </cell>
        </row>
        <row r="1164">
          <cell r="T1164">
            <v>45357</v>
          </cell>
          <cell r="U1164">
            <v>10</v>
          </cell>
        </row>
        <row r="1165">
          <cell r="T1165">
            <v>45358</v>
          </cell>
          <cell r="U1165">
            <v>10</v>
          </cell>
        </row>
        <row r="1166">
          <cell r="T1166">
            <v>45359</v>
          </cell>
          <cell r="U1166">
            <v>10</v>
          </cell>
        </row>
        <row r="1167">
          <cell r="T1167">
            <v>45360</v>
          </cell>
          <cell r="U1167">
            <v>10</v>
          </cell>
        </row>
        <row r="1168">
          <cell r="T1168">
            <v>45361</v>
          </cell>
          <cell r="U1168">
            <v>11</v>
          </cell>
        </row>
        <row r="1169">
          <cell r="T1169">
            <v>45362</v>
          </cell>
          <cell r="U1169">
            <v>11</v>
          </cell>
        </row>
        <row r="1170">
          <cell r="T1170">
            <v>45363</v>
          </cell>
          <cell r="U1170">
            <v>11</v>
          </cell>
        </row>
        <row r="1171">
          <cell r="T1171">
            <v>45364</v>
          </cell>
          <cell r="U1171">
            <v>11</v>
          </cell>
        </row>
        <row r="1172">
          <cell r="T1172">
            <v>45365</v>
          </cell>
          <cell r="U1172">
            <v>11</v>
          </cell>
        </row>
        <row r="1173">
          <cell r="T1173">
            <v>45366</v>
          </cell>
          <cell r="U1173">
            <v>11</v>
          </cell>
        </row>
        <row r="1174">
          <cell r="T1174">
            <v>45367</v>
          </cell>
          <cell r="U1174">
            <v>11</v>
          </cell>
        </row>
        <row r="1175">
          <cell r="T1175">
            <v>45368</v>
          </cell>
          <cell r="U1175">
            <v>12</v>
          </cell>
        </row>
        <row r="1176">
          <cell r="T1176">
            <v>45369</v>
          </cell>
          <cell r="U1176">
            <v>12</v>
          </cell>
        </row>
        <row r="1177">
          <cell r="T1177">
            <v>45370</v>
          </cell>
          <cell r="U1177">
            <v>12</v>
          </cell>
        </row>
        <row r="1178">
          <cell r="T1178">
            <v>45371</v>
          </cell>
          <cell r="U1178">
            <v>12</v>
          </cell>
        </row>
        <row r="1179">
          <cell r="T1179">
            <v>45372</v>
          </cell>
          <cell r="U1179">
            <v>12</v>
          </cell>
        </row>
        <row r="1180">
          <cell r="T1180">
            <v>45373</v>
          </cell>
          <cell r="U1180">
            <v>12</v>
          </cell>
        </row>
        <row r="1181">
          <cell r="T1181">
            <v>45374</v>
          </cell>
          <cell r="U1181">
            <v>12</v>
          </cell>
        </row>
        <row r="1182">
          <cell r="T1182">
            <v>45375</v>
          </cell>
          <cell r="U1182">
            <v>13</v>
          </cell>
        </row>
        <row r="1183">
          <cell r="T1183">
            <v>45376</v>
          </cell>
          <cell r="U1183">
            <v>13</v>
          </cell>
        </row>
        <row r="1184">
          <cell r="T1184">
            <v>45377</v>
          </cell>
          <cell r="U1184">
            <v>13</v>
          </cell>
        </row>
        <row r="1185">
          <cell r="T1185">
            <v>45378</v>
          </cell>
          <cell r="U1185">
            <v>13</v>
          </cell>
        </row>
        <row r="1186">
          <cell r="T1186">
            <v>45379</v>
          </cell>
          <cell r="U1186">
            <v>13</v>
          </cell>
        </row>
        <row r="1187">
          <cell r="T1187">
            <v>45380</v>
          </cell>
          <cell r="U1187">
            <v>13</v>
          </cell>
        </row>
        <row r="1188">
          <cell r="T1188">
            <v>45381</v>
          </cell>
          <cell r="U1188">
            <v>13</v>
          </cell>
        </row>
        <row r="1189">
          <cell r="T1189">
            <v>45382</v>
          </cell>
          <cell r="U1189">
            <v>14</v>
          </cell>
        </row>
        <row r="1190">
          <cell r="T1190">
            <v>45383</v>
          </cell>
          <cell r="U1190">
            <v>14</v>
          </cell>
        </row>
        <row r="1191">
          <cell r="T1191">
            <v>45384</v>
          </cell>
          <cell r="U1191">
            <v>14</v>
          </cell>
        </row>
        <row r="1192">
          <cell r="T1192">
            <v>45385</v>
          </cell>
          <cell r="U1192">
            <v>14</v>
          </cell>
        </row>
        <row r="1193">
          <cell r="T1193">
            <v>45386</v>
          </cell>
          <cell r="U1193">
            <v>14</v>
          </cell>
        </row>
        <row r="1194">
          <cell r="T1194">
            <v>45387</v>
          </cell>
          <cell r="U1194">
            <v>14</v>
          </cell>
        </row>
        <row r="1195">
          <cell r="T1195">
            <v>45388</v>
          </cell>
          <cell r="U1195">
            <v>14</v>
          </cell>
        </row>
        <row r="1196">
          <cell r="T1196">
            <v>45389</v>
          </cell>
          <cell r="U1196">
            <v>15</v>
          </cell>
        </row>
        <row r="1197">
          <cell r="T1197">
            <v>45390</v>
          </cell>
          <cell r="U1197">
            <v>15</v>
          </cell>
        </row>
        <row r="1198">
          <cell r="T1198">
            <v>45391</v>
          </cell>
          <cell r="U1198">
            <v>15</v>
          </cell>
        </row>
        <row r="1199">
          <cell r="T1199">
            <v>45392</v>
          </cell>
          <cell r="U1199">
            <v>15</v>
          </cell>
        </row>
        <row r="1200">
          <cell r="T1200">
            <v>45393</v>
          </cell>
          <cell r="U1200">
            <v>15</v>
          </cell>
        </row>
        <row r="1201">
          <cell r="T1201">
            <v>45394</v>
          </cell>
          <cell r="U1201">
            <v>15</v>
          </cell>
        </row>
        <row r="1202">
          <cell r="T1202">
            <v>45395</v>
          </cell>
          <cell r="U1202">
            <v>15</v>
          </cell>
        </row>
        <row r="1203">
          <cell r="T1203">
            <v>45396</v>
          </cell>
          <cell r="U1203">
            <v>16</v>
          </cell>
        </row>
        <row r="1204">
          <cell r="T1204">
            <v>45397</v>
          </cell>
          <cell r="U1204">
            <v>16</v>
          </cell>
        </row>
        <row r="1205">
          <cell r="T1205">
            <v>45398</v>
          </cell>
          <cell r="U1205">
            <v>16</v>
          </cell>
        </row>
        <row r="1206">
          <cell r="T1206">
            <v>45399</v>
          </cell>
          <cell r="U1206">
            <v>16</v>
          </cell>
        </row>
        <row r="1207">
          <cell r="T1207">
            <v>45400</v>
          </cell>
          <cell r="U1207">
            <v>16</v>
          </cell>
        </row>
        <row r="1208">
          <cell r="T1208">
            <v>45401</v>
          </cell>
          <cell r="U1208">
            <v>16</v>
          </cell>
        </row>
        <row r="1209">
          <cell r="T1209">
            <v>45402</v>
          </cell>
          <cell r="U1209">
            <v>16</v>
          </cell>
        </row>
        <row r="1210">
          <cell r="T1210">
            <v>45403</v>
          </cell>
          <cell r="U1210">
            <v>17</v>
          </cell>
        </row>
        <row r="1211">
          <cell r="T1211">
            <v>45404</v>
          </cell>
          <cell r="U1211">
            <v>17</v>
          </cell>
        </row>
        <row r="1212">
          <cell r="T1212">
            <v>45405</v>
          </cell>
          <cell r="U1212">
            <v>17</v>
          </cell>
        </row>
        <row r="1213">
          <cell r="T1213">
            <v>45406</v>
          </cell>
          <cell r="U1213">
            <v>17</v>
          </cell>
        </row>
        <row r="1214">
          <cell r="T1214">
            <v>45407</v>
          </cell>
          <cell r="U1214">
            <v>17</v>
          </cell>
        </row>
        <row r="1215">
          <cell r="T1215">
            <v>45408</v>
          </cell>
          <cell r="U1215">
            <v>17</v>
          </cell>
        </row>
        <row r="1216">
          <cell r="T1216">
            <v>45409</v>
          </cell>
          <cell r="U1216">
            <v>17</v>
          </cell>
        </row>
        <row r="1217">
          <cell r="T1217">
            <v>45410</v>
          </cell>
          <cell r="U1217">
            <v>18</v>
          </cell>
        </row>
        <row r="1218">
          <cell r="T1218">
            <v>45411</v>
          </cell>
          <cell r="U1218">
            <v>18</v>
          </cell>
        </row>
        <row r="1219">
          <cell r="T1219">
            <v>45412</v>
          </cell>
          <cell r="U1219">
            <v>18</v>
          </cell>
        </row>
        <row r="1220">
          <cell r="T1220">
            <v>45413</v>
          </cell>
          <cell r="U1220">
            <v>18</v>
          </cell>
        </row>
        <row r="1221">
          <cell r="T1221">
            <v>45414</v>
          </cell>
          <cell r="U1221">
            <v>18</v>
          </cell>
        </row>
        <row r="1222">
          <cell r="T1222">
            <v>45415</v>
          </cell>
          <cell r="U1222">
            <v>18</v>
          </cell>
        </row>
        <row r="1223">
          <cell r="T1223">
            <v>45416</v>
          </cell>
          <cell r="U1223">
            <v>18</v>
          </cell>
        </row>
        <row r="1224">
          <cell r="T1224">
            <v>45417</v>
          </cell>
          <cell r="U1224">
            <v>19</v>
          </cell>
        </row>
        <row r="1225">
          <cell r="T1225">
            <v>45418</v>
          </cell>
          <cell r="U1225">
            <v>19</v>
          </cell>
        </row>
        <row r="1226">
          <cell r="T1226">
            <v>45419</v>
          </cell>
          <cell r="U1226">
            <v>19</v>
          </cell>
        </row>
        <row r="1227">
          <cell r="T1227">
            <v>45420</v>
          </cell>
          <cell r="U1227">
            <v>19</v>
          </cell>
        </row>
        <row r="1228">
          <cell r="T1228">
            <v>45421</v>
          </cell>
          <cell r="U1228">
            <v>19</v>
          </cell>
        </row>
        <row r="1229">
          <cell r="T1229">
            <v>45422</v>
          </cell>
          <cell r="U1229">
            <v>19</v>
          </cell>
        </row>
        <row r="1230">
          <cell r="T1230">
            <v>45423</v>
          </cell>
          <cell r="U1230">
            <v>19</v>
          </cell>
        </row>
        <row r="1231">
          <cell r="T1231">
            <v>45424</v>
          </cell>
          <cell r="U1231">
            <v>20</v>
          </cell>
        </row>
        <row r="1232">
          <cell r="T1232">
            <v>45425</v>
          </cell>
          <cell r="U1232">
            <v>20</v>
          </cell>
        </row>
        <row r="1233">
          <cell r="T1233">
            <v>45426</v>
          </cell>
          <cell r="U1233">
            <v>20</v>
          </cell>
        </row>
        <row r="1234">
          <cell r="T1234">
            <v>45427</v>
          </cell>
          <cell r="U1234">
            <v>20</v>
          </cell>
        </row>
        <row r="1235">
          <cell r="T1235">
            <v>45428</v>
          </cell>
          <cell r="U1235">
            <v>20</v>
          </cell>
        </row>
        <row r="1236">
          <cell r="T1236">
            <v>45429</v>
          </cell>
          <cell r="U1236">
            <v>20</v>
          </cell>
        </row>
        <row r="1237">
          <cell r="T1237">
            <v>45430</v>
          </cell>
          <cell r="U1237">
            <v>20</v>
          </cell>
        </row>
        <row r="1238">
          <cell r="T1238">
            <v>45431</v>
          </cell>
          <cell r="U1238">
            <v>21</v>
          </cell>
        </row>
        <row r="1239">
          <cell r="T1239">
            <v>45432</v>
          </cell>
          <cell r="U1239">
            <v>21</v>
          </cell>
        </row>
        <row r="1240">
          <cell r="T1240">
            <v>45433</v>
          </cell>
          <cell r="U1240">
            <v>21</v>
          </cell>
        </row>
        <row r="1241">
          <cell r="T1241">
            <v>45434</v>
          </cell>
          <cell r="U1241">
            <v>21</v>
          </cell>
        </row>
        <row r="1242">
          <cell r="T1242">
            <v>45435</v>
          </cell>
          <cell r="U1242">
            <v>21</v>
          </cell>
        </row>
        <row r="1243">
          <cell r="T1243">
            <v>45436</v>
          </cell>
          <cell r="U1243">
            <v>21</v>
          </cell>
        </row>
        <row r="1244">
          <cell r="T1244">
            <v>45437</v>
          </cell>
          <cell r="U1244">
            <v>21</v>
          </cell>
        </row>
        <row r="1245">
          <cell r="T1245">
            <v>45438</v>
          </cell>
          <cell r="U1245">
            <v>22</v>
          </cell>
        </row>
        <row r="1246">
          <cell r="T1246">
            <v>45439</v>
          </cell>
          <cell r="U1246">
            <v>22</v>
          </cell>
        </row>
        <row r="1247">
          <cell r="T1247">
            <v>45440</v>
          </cell>
          <cell r="U1247">
            <v>22</v>
          </cell>
        </row>
        <row r="1248">
          <cell r="T1248">
            <v>45441</v>
          </cell>
          <cell r="U1248">
            <v>22</v>
          </cell>
        </row>
        <row r="1249">
          <cell r="T1249">
            <v>45442</v>
          </cell>
          <cell r="U1249">
            <v>22</v>
          </cell>
        </row>
        <row r="1250">
          <cell r="T1250">
            <v>45443</v>
          </cell>
          <cell r="U1250">
            <v>22</v>
          </cell>
        </row>
        <row r="1251">
          <cell r="T1251">
            <v>45444</v>
          </cell>
          <cell r="U1251">
            <v>22</v>
          </cell>
        </row>
        <row r="1252">
          <cell r="T1252">
            <v>45445</v>
          </cell>
          <cell r="U1252">
            <v>23</v>
          </cell>
        </row>
        <row r="1253">
          <cell r="T1253">
            <v>45446</v>
          </cell>
          <cell r="U1253">
            <v>23</v>
          </cell>
        </row>
        <row r="1254">
          <cell r="T1254">
            <v>45447</v>
          </cell>
          <cell r="U1254">
            <v>23</v>
          </cell>
        </row>
        <row r="1255">
          <cell r="T1255">
            <v>45448</v>
          </cell>
          <cell r="U1255">
            <v>23</v>
          </cell>
        </row>
        <row r="1256">
          <cell r="T1256">
            <v>45449</v>
          </cell>
          <cell r="U1256">
            <v>23</v>
          </cell>
        </row>
        <row r="1257">
          <cell r="T1257">
            <v>45450</v>
          </cell>
          <cell r="U1257">
            <v>23</v>
          </cell>
        </row>
        <row r="1258">
          <cell r="T1258">
            <v>45451</v>
          </cell>
          <cell r="U1258">
            <v>23</v>
          </cell>
        </row>
        <row r="1259">
          <cell r="T1259">
            <v>45452</v>
          </cell>
          <cell r="U1259">
            <v>24</v>
          </cell>
        </row>
        <row r="1260">
          <cell r="T1260">
            <v>45453</v>
          </cell>
          <cell r="U1260">
            <v>24</v>
          </cell>
        </row>
        <row r="1261">
          <cell r="T1261">
            <v>45454</v>
          </cell>
          <cell r="U1261">
            <v>24</v>
          </cell>
        </row>
        <row r="1262">
          <cell r="T1262">
            <v>45455</v>
          </cell>
          <cell r="U1262">
            <v>24</v>
          </cell>
        </row>
        <row r="1263">
          <cell r="T1263">
            <v>45456</v>
          </cell>
          <cell r="U1263">
            <v>24</v>
          </cell>
        </row>
        <row r="1264">
          <cell r="T1264">
            <v>45457</v>
          </cell>
          <cell r="U1264">
            <v>24</v>
          </cell>
        </row>
        <row r="1265">
          <cell r="T1265">
            <v>45458</v>
          </cell>
          <cell r="U1265">
            <v>24</v>
          </cell>
        </row>
        <row r="1266">
          <cell r="T1266">
            <v>45459</v>
          </cell>
          <cell r="U1266">
            <v>25</v>
          </cell>
        </row>
        <row r="1267">
          <cell r="T1267">
            <v>45460</v>
          </cell>
          <cell r="U1267">
            <v>25</v>
          </cell>
        </row>
        <row r="1268">
          <cell r="T1268">
            <v>45461</v>
          </cell>
          <cell r="U1268">
            <v>25</v>
          </cell>
        </row>
        <row r="1269">
          <cell r="T1269">
            <v>45462</v>
          </cell>
          <cell r="U1269">
            <v>25</v>
          </cell>
        </row>
        <row r="1270">
          <cell r="T1270">
            <v>45463</v>
          </cell>
          <cell r="U1270">
            <v>25</v>
          </cell>
        </row>
        <row r="1271">
          <cell r="T1271">
            <v>45464</v>
          </cell>
          <cell r="U1271">
            <v>25</v>
          </cell>
        </row>
        <row r="1272">
          <cell r="T1272">
            <v>45465</v>
          </cell>
          <cell r="U1272">
            <v>25</v>
          </cell>
        </row>
        <row r="1273">
          <cell r="T1273">
            <v>45466</v>
          </cell>
          <cell r="U1273">
            <v>26</v>
          </cell>
        </row>
        <row r="1274">
          <cell r="T1274">
            <v>45467</v>
          </cell>
          <cell r="U1274">
            <v>26</v>
          </cell>
        </row>
        <row r="1275">
          <cell r="T1275">
            <v>45468</v>
          </cell>
          <cell r="U1275">
            <v>26</v>
          </cell>
        </row>
        <row r="1276">
          <cell r="T1276">
            <v>45469</v>
          </cell>
          <cell r="U1276">
            <v>26</v>
          </cell>
        </row>
        <row r="1277">
          <cell r="T1277">
            <v>45470</v>
          </cell>
          <cell r="U1277">
            <v>26</v>
          </cell>
        </row>
        <row r="1278">
          <cell r="T1278">
            <v>45471</v>
          </cell>
          <cell r="U1278">
            <v>26</v>
          </cell>
        </row>
        <row r="1279">
          <cell r="T1279">
            <v>45472</v>
          </cell>
          <cell r="U1279">
            <v>26</v>
          </cell>
        </row>
        <row r="1280">
          <cell r="T1280">
            <v>45473</v>
          </cell>
          <cell r="U1280">
            <v>27</v>
          </cell>
        </row>
        <row r="1281">
          <cell r="T1281">
            <v>45474</v>
          </cell>
          <cell r="U1281">
            <v>27</v>
          </cell>
        </row>
        <row r="1282">
          <cell r="T1282">
            <v>45475</v>
          </cell>
          <cell r="U1282">
            <v>27</v>
          </cell>
        </row>
        <row r="1283">
          <cell r="T1283">
            <v>45476</v>
          </cell>
          <cell r="U1283">
            <v>27</v>
          </cell>
        </row>
        <row r="1284">
          <cell r="T1284">
            <v>45477</v>
          </cell>
          <cell r="U1284">
            <v>27</v>
          </cell>
        </row>
        <row r="1285">
          <cell r="T1285">
            <v>45478</v>
          </cell>
          <cell r="U1285">
            <v>27</v>
          </cell>
        </row>
        <row r="1286">
          <cell r="T1286">
            <v>45479</v>
          </cell>
          <cell r="U1286">
            <v>27</v>
          </cell>
        </row>
        <row r="1287">
          <cell r="T1287">
            <v>45480</v>
          </cell>
          <cell r="U1287">
            <v>28</v>
          </cell>
        </row>
        <row r="1288">
          <cell r="T1288">
            <v>45481</v>
          </cell>
          <cell r="U1288">
            <v>28</v>
          </cell>
        </row>
        <row r="1289">
          <cell r="T1289">
            <v>45482</v>
          </cell>
          <cell r="U1289">
            <v>28</v>
          </cell>
        </row>
        <row r="1290">
          <cell r="T1290">
            <v>45483</v>
          </cell>
          <cell r="U1290">
            <v>28</v>
          </cell>
        </row>
        <row r="1291">
          <cell r="T1291">
            <v>45484</v>
          </cell>
          <cell r="U1291">
            <v>28</v>
          </cell>
        </row>
        <row r="1292">
          <cell r="T1292">
            <v>45485</v>
          </cell>
          <cell r="U1292">
            <v>28</v>
          </cell>
        </row>
        <row r="1293">
          <cell r="T1293">
            <v>45486</v>
          </cell>
          <cell r="U1293">
            <v>28</v>
          </cell>
        </row>
        <row r="1294">
          <cell r="T1294">
            <v>45487</v>
          </cell>
          <cell r="U1294">
            <v>29</v>
          </cell>
        </row>
        <row r="1295">
          <cell r="T1295">
            <v>45488</v>
          </cell>
          <cell r="U1295">
            <v>29</v>
          </cell>
        </row>
        <row r="1296">
          <cell r="T1296">
            <v>45489</v>
          </cell>
          <cell r="U1296">
            <v>29</v>
          </cell>
        </row>
        <row r="1297">
          <cell r="T1297">
            <v>45490</v>
          </cell>
          <cell r="U1297">
            <v>29</v>
          </cell>
        </row>
        <row r="1298">
          <cell r="T1298">
            <v>45491</v>
          </cell>
          <cell r="U1298">
            <v>29</v>
          </cell>
        </row>
        <row r="1299">
          <cell r="T1299">
            <v>45492</v>
          </cell>
          <cell r="U1299">
            <v>29</v>
          </cell>
        </row>
        <row r="1300">
          <cell r="T1300">
            <v>45493</v>
          </cell>
          <cell r="U1300">
            <v>29</v>
          </cell>
        </row>
        <row r="1301">
          <cell r="T1301">
            <v>45494</v>
          </cell>
          <cell r="U1301">
            <v>30</v>
          </cell>
        </row>
        <row r="1302">
          <cell r="T1302">
            <v>45495</v>
          </cell>
          <cell r="U1302">
            <v>30</v>
          </cell>
        </row>
        <row r="1303">
          <cell r="T1303">
            <v>45496</v>
          </cell>
          <cell r="U1303">
            <v>30</v>
          </cell>
        </row>
        <row r="1304">
          <cell r="T1304">
            <v>45497</v>
          </cell>
          <cell r="U1304">
            <v>30</v>
          </cell>
        </row>
        <row r="1305">
          <cell r="T1305">
            <v>45498</v>
          </cell>
          <cell r="U1305">
            <v>30</v>
          </cell>
        </row>
        <row r="1306">
          <cell r="T1306">
            <v>45499</v>
          </cell>
          <cell r="U1306">
            <v>30</v>
          </cell>
        </row>
        <row r="1307">
          <cell r="T1307">
            <v>45500</v>
          </cell>
          <cell r="U1307">
            <v>30</v>
          </cell>
        </row>
        <row r="1308">
          <cell r="T1308">
            <v>45501</v>
          </cell>
          <cell r="U1308">
            <v>31</v>
          </cell>
        </row>
        <row r="1309">
          <cell r="T1309">
            <v>45502</v>
          </cell>
          <cell r="U1309">
            <v>31</v>
          </cell>
        </row>
        <row r="1310">
          <cell r="T1310">
            <v>45503</v>
          </cell>
          <cell r="U1310">
            <v>31</v>
          </cell>
        </row>
        <row r="1311">
          <cell r="T1311">
            <v>45504</v>
          </cell>
          <cell r="U1311">
            <v>31</v>
          </cell>
        </row>
        <row r="1312">
          <cell r="T1312">
            <v>45505</v>
          </cell>
          <cell r="U1312">
            <v>31</v>
          </cell>
        </row>
        <row r="1313">
          <cell r="T1313">
            <v>45506</v>
          </cell>
          <cell r="U1313">
            <v>31</v>
          </cell>
        </row>
        <row r="1314">
          <cell r="T1314">
            <v>45507</v>
          </cell>
          <cell r="U1314">
            <v>31</v>
          </cell>
        </row>
        <row r="1315">
          <cell r="T1315">
            <v>45508</v>
          </cell>
          <cell r="U1315">
            <v>32</v>
          </cell>
        </row>
        <row r="1316">
          <cell r="T1316">
            <v>45509</v>
          </cell>
          <cell r="U1316">
            <v>32</v>
          </cell>
        </row>
        <row r="1317">
          <cell r="T1317">
            <v>45510</v>
          </cell>
          <cell r="U1317">
            <v>32</v>
          </cell>
        </row>
        <row r="1318">
          <cell r="T1318">
            <v>45511</v>
          </cell>
          <cell r="U1318">
            <v>32</v>
          </cell>
        </row>
        <row r="1319">
          <cell r="T1319">
            <v>45512</v>
          </cell>
          <cell r="U1319">
            <v>32</v>
          </cell>
        </row>
        <row r="1320">
          <cell r="T1320">
            <v>45513</v>
          </cell>
          <cell r="U1320">
            <v>32</v>
          </cell>
        </row>
        <row r="1321">
          <cell r="T1321">
            <v>45514</v>
          </cell>
          <cell r="U1321">
            <v>32</v>
          </cell>
        </row>
        <row r="1322">
          <cell r="T1322">
            <v>45515</v>
          </cell>
          <cell r="U1322">
            <v>33</v>
          </cell>
        </row>
        <row r="1323">
          <cell r="T1323">
            <v>45516</v>
          </cell>
          <cell r="U1323">
            <v>33</v>
          </cell>
        </row>
        <row r="1324">
          <cell r="T1324">
            <v>45517</v>
          </cell>
          <cell r="U1324">
            <v>33</v>
          </cell>
        </row>
        <row r="1325">
          <cell r="T1325">
            <v>45518</v>
          </cell>
          <cell r="U1325">
            <v>33</v>
          </cell>
        </row>
        <row r="1326">
          <cell r="T1326">
            <v>45519</v>
          </cell>
          <cell r="U1326">
            <v>33</v>
          </cell>
        </row>
        <row r="1327">
          <cell r="T1327">
            <v>45520</v>
          </cell>
          <cell r="U1327">
            <v>33</v>
          </cell>
        </row>
        <row r="1328">
          <cell r="T1328">
            <v>45521</v>
          </cell>
          <cell r="U1328">
            <v>33</v>
          </cell>
        </row>
        <row r="1329">
          <cell r="T1329">
            <v>45522</v>
          </cell>
          <cell r="U1329">
            <v>34</v>
          </cell>
        </row>
        <row r="1330">
          <cell r="T1330">
            <v>45523</v>
          </cell>
          <cell r="U1330">
            <v>34</v>
          </cell>
        </row>
        <row r="1331">
          <cell r="T1331">
            <v>45524</v>
          </cell>
          <cell r="U1331">
            <v>34</v>
          </cell>
        </row>
        <row r="1332">
          <cell r="T1332">
            <v>45525</v>
          </cell>
          <cell r="U1332">
            <v>34</v>
          </cell>
        </row>
        <row r="1333">
          <cell r="T1333">
            <v>45526</v>
          </cell>
          <cell r="U1333">
            <v>34</v>
          </cell>
        </row>
        <row r="1334">
          <cell r="T1334">
            <v>45527</v>
          </cell>
          <cell r="U1334">
            <v>34</v>
          </cell>
        </row>
        <row r="1335">
          <cell r="T1335">
            <v>45528</v>
          </cell>
          <cell r="U1335">
            <v>34</v>
          </cell>
        </row>
        <row r="1336">
          <cell r="T1336">
            <v>45529</v>
          </cell>
          <cell r="U1336">
            <v>35</v>
          </cell>
        </row>
        <row r="1337">
          <cell r="T1337">
            <v>45530</v>
          </cell>
          <cell r="U1337">
            <v>35</v>
          </cell>
        </row>
        <row r="1338">
          <cell r="T1338">
            <v>45531</v>
          </cell>
          <cell r="U1338">
            <v>35</v>
          </cell>
        </row>
        <row r="1339">
          <cell r="T1339">
            <v>45532</v>
          </cell>
          <cell r="U1339">
            <v>35</v>
          </cell>
        </row>
        <row r="1340">
          <cell r="T1340">
            <v>45533</v>
          </cell>
          <cell r="U1340">
            <v>35</v>
          </cell>
        </row>
        <row r="1341">
          <cell r="T1341">
            <v>45534</v>
          </cell>
          <cell r="U1341">
            <v>35</v>
          </cell>
        </row>
        <row r="1342">
          <cell r="T1342">
            <v>45535</v>
          </cell>
          <cell r="U1342">
            <v>35</v>
          </cell>
        </row>
        <row r="1343">
          <cell r="T1343">
            <v>45536</v>
          </cell>
          <cell r="U1343">
            <v>36</v>
          </cell>
        </row>
        <row r="1344">
          <cell r="T1344">
            <v>45537</v>
          </cell>
          <cell r="U1344">
            <v>36</v>
          </cell>
        </row>
        <row r="1345">
          <cell r="T1345">
            <v>45538</v>
          </cell>
          <cell r="U1345">
            <v>36</v>
          </cell>
        </row>
        <row r="1346">
          <cell r="T1346">
            <v>45539</v>
          </cell>
          <cell r="U1346">
            <v>36</v>
          </cell>
        </row>
        <row r="1347">
          <cell r="T1347">
            <v>45540</v>
          </cell>
          <cell r="U1347">
            <v>36</v>
          </cell>
        </row>
        <row r="1348">
          <cell r="T1348">
            <v>45541</v>
          </cell>
          <cell r="U1348">
            <v>36</v>
          </cell>
        </row>
        <row r="1349">
          <cell r="T1349">
            <v>45542</v>
          </cell>
          <cell r="U1349">
            <v>36</v>
          </cell>
        </row>
        <row r="1350">
          <cell r="T1350">
            <v>45543</v>
          </cell>
          <cell r="U1350">
            <v>37</v>
          </cell>
        </row>
        <row r="1351">
          <cell r="T1351">
            <v>45544</v>
          </cell>
          <cell r="U1351">
            <v>37</v>
          </cell>
        </row>
        <row r="1352">
          <cell r="T1352">
            <v>45545</v>
          </cell>
          <cell r="U1352">
            <v>37</v>
          </cell>
        </row>
        <row r="1353">
          <cell r="T1353">
            <v>45546</v>
          </cell>
          <cell r="U1353">
            <v>37</v>
          </cell>
        </row>
        <row r="1354">
          <cell r="T1354">
            <v>45547</v>
          </cell>
          <cell r="U1354">
            <v>37</v>
          </cell>
        </row>
        <row r="1355">
          <cell r="T1355">
            <v>45548</v>
          </cell>
          <cell r="U1355">
            <v>37</v>
          </cell>
        </row>
        <row r="1356">
          <cell r="T1356">
            <v>45549</v>
          </cell>
          <cell r="U1356">
            <v>37</v>
          </cell>
        </row>
        <row r="1357">
          <cell r="T1357">
            <v>45550</v>
          </cell>
          <cell r="U1357">
            <v>38</v>
          </cell>
        </row>
        <row r="1358">
          <cell r="T1358">
            <v>45551</v>
          </cell>
          <cell r="U1358">
            <v>38</v>
          </cell>
        </row>
        <row r="1359">
          <cell r="T1359">
            <v>45552</v>
          </cell>
          <cell r="U1359">
            <v>38</v>
          </cell>
        </row>
        <row r="1360">
          <cell r="T1360">
            <v>45553</v>
          </cell>
          <cell r="U1360">
            <v>38</v>
          </cell>
        </row>
        <row r="1361">
          <cell r="T1361">
            <v>45554</v>
          </cell>
          <cell r="U1361">
            <v>38</v>
          </cell>
        </row>
        <row r="1362">
          <cell r="T1362">
            <v>45555</v>
          </cell>
          <cell r="U1362">
            <v>38</v>
          </cell>
        </row>
        <row r="1363">
          <cell r="T1363">
            <v>45556</v>
          </cell>
          <cell r="U1363">
            <v>38</v>
          </cell>
        </row>
        <row r="1364">
          <cell r="T1364">
            <v>45557</v>
          </cell>
          <cell r="U1364">
            <v>39</v>
          </cell>
        </row>
        <row r="1365">
          <cell r="T1365">
            <v>45558</v>
          </cell>
          <cell r="U1365">
            <v>39</v>
          </cell>
        </row>
        <row r="1366">
          <cell r="T1366">
            <v>45559</v>
          </cell>
          <cell r="U1366">
            <v>39</v>
          </cell>
        </row>
        <row r="1367">
          <cell r="T1367">
            <v>45560</v>
          </cell>
          <cell r="U1367">
            <v>39</v>
          </cell>
        </row>
        <row r="1368">
          <cell r="T1368">
            <v>45561</v>
          </cell>
          <cell r="U1368">
            <v>39</v>
          </cell>
        </row>
        <row r="1369">
          <cell r="T1369">
            <v>45562</v>
          </cell>
          <cell r="U1369">
            <v>39</v>
          </cell>
        </row>
        <row r="1370">
          <cell r="T1370">
            <v>45563</v>
          </cell>
          <cell r="U1370">
            <v>39</v>
          </cell>
        </row>
        <row r="1371">
          <cell r="T1371">
            <v>45564</v>
          </cell>
          <cell r="U1371">
            <v>40</v>
          </cell>
        </row>
        <row r="1372">
          <cell r="T1372">
            <v>45565</v>
          </cell>
          <cell r="U1372">
            <v>40</v>
          </cell>
        </row>
        <row r="1373">
          <cell r="T1373">
            <v>45566</v>
          </cell>
          <cell r="U1373">
            <v>40</v>
          </cell>
        </row>
        <row r="1374">
          <cell r="T1374">
            <v>45567</v>
          </cell>
          <cell r="U1374">
            <v>40</v>
          </cell>
        </row>
        <row r="1375">
          <cell r="T1375">
            <v>45568</v>
          </cell>
          <cell r="U1375">
            <v>40</v>
          </cell>
        </row>
        <row r="1376">
          <cell r="T1376">
            <v>45569</v>
          </cell>
          <cell r="U1376">
            <v>40</v>
          </cell>
        </row>
        <row r="1377">
          <cell r="T1377">
            <v>45570</v>
          </cell>
          <cell r="U1377">
            <v>40</v>
          </cell>
        </row>
        <row r="1378">
          <cell r="T1378">
            <v>45571</v>
          </cell>
          <cell r="U1378">
            <v>41</v>
          </cell>
        </row>
        <row r="1379">
          <cell r="T1379">
            <v>45572</v>
          </cell>
          <cell r="U1379">
            <v>41</v>
          </cell>
        </row>
        <row r="1380">
          <cell r="T1380">
            <v>45573</v>
          </cell>
          <cell r="U1380">
            <v>41</v>
          </cell>
        </row>
        <row r="1381">
          <cell r="T1381">
            <v>45574</v>
          </cell>
          <cell r="U1381">
            <v>41</v>
          </cell>
        </row>
        <row r="1382">
          <cell r="T1382">
            <v>45575</v>
          </cell>
          <cell r="U1382">
            <v>41</v>
          </cell>
        </row>
        <row r="1383">
          <cell r="T1383">
            <v>45576</v>
          </cell>
          <cell r="U1383">
            <v>41</v>
          </cell>
        </row>
        <row r="1384">
          <cell r="T1384">
            <v>45577</v>
          </cell>
          <cell r="U1384">
            <v>41</v>
          </cell>
        </row>
        <row r="1385">
          <cell r="T1385">
            <v>45578</v>
          </cell>
          <cell r="U1385">
            <v>42</v>
          </cell>
        </row>
        <row r="1386">
          <cell r="T1386">
            <v>45579</v>
          </cell>
          <cell r="U1386">
            <v>42</v>
          </cell>
        </row>
        <row r="1387">
          <cell r="T1387">
            <v>45580</v>
          </cell>
          <cell r="U1387">
            <v>42</v>
          </cell>
        </row>
        <row r="1388">
          <cell r="T1388">
            <v>45581</v>
          </cell>
          <cell r="U1388">
            <v>42</v>
          </cell>
        </row>
        <row r="1389">
          <cell r="T1389">
            <v>45582</v>
          </cell>
          <cell r="U1389">
            <v>42</v>
          </cell>
        </row>
        <row r="1390">
          <cell r="T1390">
            <v>45583</v>
          </cell>
          <cell r="U1390">
            <v>42</v>
          </cell>
        </row>
        <row r="1391">
          <cell r="T1391">
            <v>45584</v>
          </cell>
          <cell r="U1391">
            <v>42</v>
          </cell>
        </row>
        <row r="1392">
          <cell r="T1392">
            <v>45585</v>
          </cell>
          <cell r="U1392">
            <v>43</v>
          </cell>
        </row>
        <row r="1393">
          <cell r="T1393">
            <v>45586</v>
          </cell>
          <cell r="U1393">
            <v>43</v>
          </cell>
        </row>
        <row r="1394">
          <cell r="T1394">
            <v>45587</v>
          </cell>
          <cell r="U1394">
            <v>43</v>
          </cell>
        </row>
        <row r="1395">
          <cell r="T1395">
            <v>45588</v>
          </cell>
          <cell r="U1395">
            <v>43</v>
          </cell>
        </row>
        <row r="1396">
          <cell r="T1396">
            <v>45589</v>
          </cell>
          <cell r="U1396">
            <v>43</v>
          </cell>
        </row>
        <row r="1397">
          <cell r="T1397">
            <v>45590</v>
          </cell>
          <cell r="U1397">
            <v>43</v>
          </cell>
        </row>
        <row r="1398">
          <cell r="T1398">
            <v>45591</v>
          </cell>
          <cell r="U1398">
            <v>43</v>
          </cell>
        </row>
        <row r="1399">
          <cell r="T1399">
            <v>45592</v>
          </cell>
          <cell r="U1399">
            <v>44</v>
          </cell>
        </row>
        <row r="1400">
          <cell r="T1400">
            <v>45593</v>
          </cell>
          <cell r="U1400">
            <v>44</v>
          </cell>
        </row>
        <row r="1401">
          <cell r="T1401">
            <v>45594</v>
          </cell>
          <cell r="U1401">
            <v>44</v>
          </cell>
        </row>
        <row r="1402">
          <cell r="T1402">
            <v>45595</v>
          </cell>
          <cell r="U1402">
            <v>44</v>
          </cell>
        </row>
        <row r="1403">
          <cell r="T1403">
            <v>45596</v>
          </cell>
          <cell r="U1403">
            <v>44</v>
          </cell>
        </row>
        <row r="1404">
          <cell r="T1404">
            <v>45597</v>
          </cell>
          <cell r="U1404">
            <v>44</v>
          </cell>
        </row>
        <row r="1405">
          <cell r="T1405">
            <v>45598</v>
          </cell>
          <cell r="U1405">
            <v>44</v>
          </cell>
        </row>
        <row r="1406">
          <cell r="T1406">
            <v>45599</v>
          </cell>
          <cell r="U1406">
            <v>45</v>
          </cell>
        </row>
        <row r="1407">
          <cell r="T1407">
            <v>45600</v>
          </cell>
          <cell r="U1407">
            <v>45</v>
          </cell>
        </row>
        <row r="1408">
          <cell r="T1408">
            <v>45601</v>
          </cell>
          <cell r="U1408">
            <v>45</v>
          </cell>
        </row>
        <row r="1409">
          <cell r="T1409">
            <v>45602</v>
          </cell>
          <cell r="U1409">
            <v>45</v>
          </cell>
        </row>
        <row r="1410">
          <cell r="T1410">
            <v>45603</v>
          </cell>
          <cell r="U1410">
            <v>45</v>
          </cell>
        </row>
        <row r="1411">
          <cell r="T1411">
            <v>45604</v>
          </cell>
          <cell r="U1411">
            <v>45</v>
          </cell>
        </row>
        <row r="1412">
          <cell r="T1412">
            <v>45605</v>
          </cell>
          <cell r="U1412">
            <v>45</v>
          </cell>
        </row>
        <row r="1413">
          <cell r="T1413">
            <v>45606</v>
          </cell>
          <cell r="U1413">
            <v>46</v>
          </cell>
        </row>
        <row r="1414">
          <cell r="T1414">
            <v>45607</v>
          </cell>
          <cell r="U1414">
            <v>46</v>
          </cell>
        </row>
        <row r="1415">
          <cell r="T1415">
            <v>45608</v>
          </cell>
          <cell r="U1415">
            <v>46</v>
          </cell>
        </row>
        <row r="1416">
          <cell r="T1416">
            <v>45609</v>
          </cell>
          <cell r="U1416">
            <v>46</v>
          </cell>
        </row>
        <row r="1417">
          <cell r="T1417">
            <v>45610</v>
          </cell>
          <cell r="U1417">
            <v>46</v>
          </cell>
        </row>
        <row r="1418">
          <cell r="T1418">
            <v>45611</v>
          </cell>
          <cell r="U1418">
            <v>46</v>
          </cell>
        </row>
        <row r="1419">
          <cell r="T1419">
            <v>45612</v>
          </cell>
          <cell r="U1419">
            <v>46</v>
          </cell>
        </row>
        <row r="1420">
          <cell r="T1420">
            <v>45613</v>
          </cell>
          <cell r="U1420">
            <v>47</v>
          </cell>
        </row>
        <row r="1421">
          <cell r="T1421">
            <v>45614</v>
          </cell>
          <cell r="U1421">
            <v>47</v>
          </cell>
        </row>
        <row r="1422">
          <cell r="T1422">
            <v>45615</v>
          </cell>
          <cell r="U1422">
            <v>47</v>
          </cell>
        </row>
        <row r="1423">
          <cell r="T1423">
            <v>45616</v>
          </cell>
          <cell r="U1423">
            <v>47</v>
          </cell>
        </row>
        <row r="1424">
          <cell r="T1424">
            <v>45617</v>
          </cell>
          <cell r="U1424">
            <v>47</v>
          </cell>
        </row>
        <row r="1425">
          <cell r="T1425">
            <v>45618</v>
          </cell>
          <cell r="U1425">
            <v>47</v>
          </cell>
        </row>
        <row r="1426">
          <cell r="T1426">
            <v>45619</v>
          </cell>
          <cell r="U1426">
            <v>47</v>
          </cell>
        </row>
        <row r="1427">
          <cell r="T1427">
            <v>45620</v>
          </cell>
          <cell r="U1427">
            <v>48</v>
          </cell>
        </row>
        <row r="1428">
          <cell r="T1428">
            <v>45621</v>
          </cell>
          <cell r="U1428">
            <v>48</v>
          </cell>
        </row>
        <row r="1429">
          <cell r="T1429">
            <v>45622</v>
          </cell>
          <cell r="U1429">
            <v>48</v>
          </cell>
        </row>
        <row r="1430">
          <cell r="T1430">
            <v>45623</v>
          </cell>
          <cell r="U1430">
            <v>48</v>
          </cell>
        </row>
        <row r="1431">
          <cell r="T1431">
            <v>45624</v>
          </cell>
          <cell r="U1431">
            <v>48</v>
          </cell>
        </row>
        <row r="1432">
          <cell r="T1432">
            <v>45625</v>
          </cell>
          <cell r="U1432">
            <v>48</v>
          </cell>
        </row>
        <row r="1433">
          <cell r="T1433">
            <v>45626</v>
          </cell>
          <cell r="U1433">
            <v>48</v>
          </cell>
        </row>
        <row r="1434">
          <cell r="T1434">
            <v>45627</v>
          </cell>
          <cell r="U1434">
            <v>49</v>
          </cell>
        </row>
        <row r="1435">
          <cell r="T1435">
            <v>45628</v>
          </cell>
          <cell r="U1435">
            <v>49</v>
          </cell>
        </row>
        <row r="1436">
          <cell r="T1436">
            <v>45629</v>
          </cell>
          <cell r="U1436">
            <v>49</v>
          </cell>
        </row>
        <row r="1437">
          <cell r="T1437">
            <v>45630</v>
          </cell>
          <cell r="U1437">
            <v>49</v>
          </cell>
        </row>
        <row r="1438">
          <cell r="T1438">
            <v>45631</v>
          </cell>
          <cell r="U1438">
            <v>49</v>
          </cell>
        </row>
        <row r="1439">
          <cell r="T1439">
            <v>45632</v>
          </cell>
          <cell r="U1439">
            <v>49</v>
          </cell>
        </row>
        <row r="1440">
          <cell r="T1440">
            <v>45633</v>
          </cell>
          <cell r="U1440">
            <v>49</v>
          </cell>
        </row>
        <row r="1441">
          <cell r="T1441">
            <v>45634</v>
          </cell>
          <cell r="U1441">
            <v>50</v>
          </cell>
        </row>
        <row r="1442">
          <cell r="T1442">
            <v>45635</v>
          </cell>
          <cell r="U1442">
            <v>50</v>
          </cell>
        </row>
        <row r="1443">
          <cell r="T1443">
            <v>45636</v>
          </cell>
          <cell r="U1443">
            <v>50</v>
          </cell>
        </row>
        <row r="1444">
          <cell r="T1444">
            <v>45637</v>
          </cell>
          <cell r="U1444">
            <v>50</v>
          </cell>
        </row>
        <row r="1445">
          <cell r="T1445">
            <v>45638</v>
          </cell>
          <cell r="U1445">
            <v>50</v>
          </cell>
        </row>
        <row r="1446">
          <cell r="T1446">
            <v>45639</v>
          </cell>
          <cell r="U1446">
            <v>50</v>
          </cell>
        </row>
        <row r="1447">
          <cell r="T1447">
            <v>45640</v>
          </cell>
          <cell r="U1447">
            <v>50</v>
          </cell>
        </row>
        <row r="1448">
          <cell r="T1448">
            <v>45641</v>
          </cell>
          <cell r="U1448">
            <v>51</v>
          </cell>
        </row>
        <row r="1449">
          <cell r="T1449">
            <v>45642</v>
          </cell>
          <cell r="U1449">
            <v>51</v>
          </cell>
        </row>
        <row r="1450">
          <cell r="T1450">
            <v>45643</v>
          </cell>
          <cell r="U1450">
            <v>51</v>
          </cell>
        </row>
        <row r="1451">
          <cell r="T1451">
            <v>45644</v>
          </cell>
          <cell r="U1451">
            <v>51</v>
          </cell>
        </row>
        <row r="1452">
          <cell r="T1452">
            <v>45645</v>
          </cell>
          <cell r="U1452">
            <v>51</v>
          </cell>
        </row>
        <row r="1453">
          <cell r="T1453">
            <v>45646</v>
          </cell>
          <cell r="U1453">
            <v>51</v>
          </cell>
        </row>
        <row r="1454">
          <cell r="T1454">
            <v>45647</v>
          </cell>
          <cell r="U1454">
            <v>51</v>
          </cell>
        </row>
        <row r="1455">
          <cell r="T1455">
            <v>45648</v>
          </cell>
          <cell r="U1455">
            <v>52</v>
          </cell>
        </row>
        <row r="1456">
          <cell r="T1456">
            <v>45649</v>
          </cell>
          <cell r="U1456">
            <v>52</v>
          </cell>
        </row>
        <row r="1457">
          <cell r="T1457">
            <v>45650</v>
          </cell>
          <cell r="U1457">
            <v>52</v>
          </cell>
        </row>
        <row r="1458">
          <cell r="T1458">
            <v>45651</v>
          </cell>
          <cell r="U1458">
            <v>52</v>
          </cell>
        </row>
        <row r="1459">
          <cell r="T1459">
            <v>45652</v>
          </cell>
          <cell r="U1459">
            <v>52</v>
          </cell>
        </row>
        <row r="1460">
          <cell r="T1460">
            <v>45653</v>
          </cell>
          <cell r="U1460">
            <v>52</v>
          </cell>
        </row>
        <row r="1461">
          <cell r="T1461">
            <v>45654</v>
          </cell>
          <cell r="U1461">
            <v>52</v>
          </cell>
        </row>
        <row r="1462">
          <cell r="T1462">
            <v>45655</v>
          </cell>
          <cell r="U1462">
            <v>53</v>
          </cell>
        </row>
        <row r="1463">
          <cell r="T1463">
            <v>45656</v>
          </cell>
          <cell r="U1463">
            <v>53</v>
          </cell>
        </row>
        <row r="1464">
          <cell r="T1464">
            <v>45657</v>
          </cell>
          <cell r="U1464">
            <v>53</v>
          </cell>
        </row>
        <row r="1465">
          <cell r="T1465" t="str">
            <v>---</v>
          </cell>
        </row>
        <row r="1466">
          <cell r="T1466">
            <v>45658</v>
          </cell>
          <cell r="U1466">
            <v>1</v>
          </cell>
        </row>
        <row r="1467">
          <cell r="T1467">
            <v>45659</v>
          </cell>
          <cell r="U1467">
            <v>1</v>
          </cell>
        </row>
        <row r="1468">
          <cell r="T1468">
            <v>45660</v>
          </cell>
          <cell r="U1468">
            <v>1</v>
          </cell>
        </row>
        <row r="1469">
          <cell r="T1469">
            <v>45661</v>
          </cell>
          <cell r="U1469">
            <v>1</v>
          </cell>
        </row>
        <row r="1470">
          <cell r="T1470">
            <v>45662</v>
          </cell>
          <cell r="U1470">
            <v>2</v>
          </cell>
        </row>
        <row r="1471">
          <cell r="T1471">
            <v>45663</v>
          </cell>
          <cell r="U1471">
            <v>2</v>
          </cell>
        </row>
        <row r="1472">
          <cell r="T1472">
            <v>45664</v>
          </cell>
          <cell r="U1472">
            <v>2</v>
          </cell>
        </row>
        <row r="1473">
          <cell r="T1473">
            <v>45665</v>
          </cell>
          <cell r="U1473">
            <v>2</v>
          </cell>
        </row>
        <row r="1474">
          <cell r="T1474">
            <v>45666</v>
          </cell>
          <cell r="U1474">
            <v>2</v>
          </cell>
        </row>
        <row r="1475">
          <cell r="T1475">
            <v>45667</v>
          </cell>
          <cell r="U1475">
            <v>2</v>
          </cell>
        </row>
        <row r="1476">
          <cell r="T1476">
            <v>45668</v>
          </cell>
          <cell r="U1476">
            <v>2</v>
          </cell>
        </row>
        <row r="1477">
          <cell r="T1477">
            <v>45669</v>
          </cell>
          <cell r="U1477">
            <v>3</v>
          </cell>
        </row>
        <row r="1478">
          <cell r="T1478">
            <v>45670</v>
          </cell>
          <cell r="U1478">
            <v>3</v>
          </cell>
        </row>
        <row r="1479">
          <cell r="T1479">
            <v>45671</v>
          </cell>
          <cell r="U1479">
            <v>3</v>
          </cell>
        </row>
        <row r="1480">
          <cell r="T1480">
            <v>45672</v>
          </cell>
          <cell r="U1480">
            <v>3</v>
          </cell>
        </row>
        <row r="1481">
          <cell r="T1481">
            <v>45673</v>
          </cell>
          <cell r="U1481">
            <v>3</v>
          </cell>
        </row>
        <row r="1482">
          <cell r="T1482">
            <v>45674</v>
          </cell>
          <cell r="U1482">
            <v>3</v>
          </cell>
        </row>
        <row r="1483">
          <cell r="T1483">
            <v>45675</v>
          </cell>
          <cell r="U1483">
            <v>3</v>
          </cell>
        </row>
        <row r="1484">
          <cell r="T1484">
            <v>45676</v>
          </cell>
          <cell r="U1484">
            <v>4</v>
          </cell>
        </row>
        <row r="1485">
          <cell r="T1485">
            <v>45677</v>
          </cell>
          <cell r="U1485">
            <v>4</v>
          </cell>
        </row>
        <row r="1486">
          <cell r="T1486">
            <v>45678</v>
          </cell>
          <cell r="U1486">
            <v>4</v>
          </cell>
        </row>
        <row r="1487">
          <cell r="T1487">
            <v>45679</v>
          </cell>
          <cell r="U1487">
            <v>4</v>
          </cell>
        </row>
        <row r="1488">
          <cell r="T1488">
            <v>45680</v>
          </cell>
          <cell r="U1488">
            <v>4</v>
          </cell>
        </row>
        <row r="1489">
          <cell r="T1489">
            <v>45681</v>
          </cell>
          <cell r="U1489">
            <v>4</v>
          </cell>
        </row>
        <row r="1490">
          <cell r="T1490">
            <v>45682</v>
          </cell>
          <cell r="U1490">
            <v>4</v>
          </cell>
        </row>
        <row r="1491">
          <cell r="T1491">
            <v>45683</v>
          </cell>
          <cell r="U1491">
            <v>5</v>
          </cell>
        </row>
        <row r="1492">
          <cell r="T1492">
            <v>45684</v>
          </cell>
          <cell r="U1492">
            <v>5</v>
          </cell>
        </row>
        <row r="1493">
          <cell r="T1493">
            <v>45685</v>
          </cell>
          <cell r="U1493">
            <v>5</v>
          </cell>
        </row>
        <row r="1494">
          <cell r="T1494">
            <v>45686</v>
          </cell>
          <cell r="U1494">
            <v>5</v>
          </cell>
        </row>
        <row r="1495">
          <cell r="T1495">
            <v>45687</v>
          </cell>
          <cell r="U1495">
            <v>5</v>
          </cell>
        </row>
        <row r="1496">
          <cell r="T1496">
            <v>45688</v>
          </cell>
          <cell r="U1496">
            <v>5</v>
          </cell>
        </row>
        <row r="1497">
          <cell r="T1497">
            <v>45689</v>
          </cell>
          <cell r="U1497">
            <v>5</v>
          </cell>
        </row>
        <row r="1498">
          <cell r="T1498">
            <v>45690</v>
          </cell>
          <cell r="U1498">
            <v>6</v>
          </cell>
        </row>
        <row r="1499">
          <cell r="T1499">
            <v>45691</v>
          </cell>
          <cell r="U1499">
            <v>6</v>
          </cell>
        </row>
        <row r="1500">
          <cell r="T1500">
            <v>45692</v>
          </cell>
          <cell r="U1500">
            <v>6</v>
          </cell>
        </row>
        <row r="1501">
          <cell r="T1501">
            <v>45693</v>
          </cell>
          <cell r="U1501">
            <v>6</v>
          </cell>
        </row>
        <row r="1502">
          <cell r="T1502">
            <v>45694</v>
          </cell>
          <cell r="U1502">
            <v>6</v>
          </cell>
        </row>
        <row r="1503">
          <cell r="T1503">
            <v>45695</v>
          </cell>
          <cell r="U1503">
            <v>6</v>
          </cell>
        </row>
        <row r="1504">
          <cell r="T1504">
            <v>45696</v>
          </cell>
          <cell r="U1504">
            <v>6</v>
          </cell>
        </row>
        <row r="1505">
          <cell r="T1505">
            <v>45697</v>
          </cell>
          <cell r="U1505">
            <v>7</v>
          </cell>
        </row>
        <row r="1506">
          <cell r="T1506">
            <v>45698</v>
          </cell>
          <cell r="U1506">
            <v>7</v>
          </cell>
        </row>
        <row r="1507">
          <cell r="T1507">
            <v>45699</v>
          </cell>
          <cell r="U1507">
            <v>7</v>
          </cell>
        </row>
        <row r="1508">
          <cell r="T1508">
            <v>45700</v>
          </cell>
          <cell r="U1508">
            <v>7</v>
          </cell>
        </row>
        <row r="1509">
          <cell r="T1509">
            <v>45701</v>
          </cell>
          <cell r="U1509">
            <v>7</v>
          </cell>
        </row>
        <row r="1510">
          <cell r="T1510">
            <v>45702</v>
          </cell>
          <cell r="U1510">
            <v>7</v>
          </cell>
        </row>
        <row r="1511">
          <cell r="T1511">
            <v>45703</v>
          </cell>
          <cell r="U1511">
            <v>7</v>
          </cell>
        </row>
        <row r="1512">
          <cell r="T1512">
            <v>45704</v>
          </cell>
          <cell r="U1512">
            <v>8</v>
          </cell>
        </row>
        <row r="1513">
          <cell r="T1513">
            <v>45705</v>
          </cell>
          <cell r="U1513">
            <v>8</v>
          </cell>
        </row>
        <row r="1514">
          <cell r="T1514">
            <v>45706</v>
          </cell>
          <cell r="U1514">
            <v>8</v>
          </cell>
        </row>
        <row r="1515">
          <cell r="T1515">
            <v>45707</v>
          </cell>
          <cell r="U1515">
            <v>8</v>
          </cell>
        </row>
        <row r="1516">
          <cell r="T1516">
            <v>45708</v>
          </cell>
          <cell r="U1516">
            <v>8</v>
          </cell>
        </row>
        <row r="1517">
          <cell r="T1517">
            <v>45709</v>
          </cell>
          <cell r="U1517">
            <v>8</v>
          </cell>
        </row>
        <row r="1518">
          <cell r="T1518">
            <v>45710</v>
          </cell>
          <cell r="U1518">
            <v>8</v>
          </cell>
        </row>
        <row r="1519">
          <cell r="T1519">
            <v>45711</v>
          </cell>
          <cell r="U1519">
            <v>9</v>
          </cell>
        </row>
        <row r="1520">
          <cell r="T1520">
            <v>45712</v>
          </cell>
          <cell r="U1520">
            <v>9</v>
          </cell>
        </row>
        <row r="1521">
          <cell r="T1521">
            <v>45713</v>
          </cell>
          <cell r="U1521">
            <v>9</v>
          </cell>
        </row>
        <row r="1522">
          <cell r="T1522">
            <v>45714</v>
          </cell>
          <cell r="U1522">
            <v>9</v>
          </cell>
        </row>
        <row r="1523">
          <cell r="T1523">
            <v>45715</v>
          </cell>
          <cell r="U1523">
            <v>9</v>
          </cell>
        </row>
        <row r="1524">
          <cell r="T1524">
            <v>45716</v>
          </cell>
          <cell r="U1524">
            <v>9</v>
          </cell>
        </row>
        <row r="1525">
          <cell r="T1525">
            <v>45717</v>
          </cell>
          <cell r="U1525">
            <v>9</v>
          </cell>
        </row>
        <row r="1526">
          <cell r="T1526">
            <v>45718</v>
          </cell>
          <cell r="U1526">
            <v>10</v>
          </cell>
        </row>
        <row r="1527">
          <cell r="T1527">
            <v>45719</v>
          </cell>
          <cell r="U1527">
            <v>10</v>
          </cell>
        </row>
        <row r="1528">
          <cell r="T1528">
            <v>45720</v>
          </cell>
          <cell r="U1528">
            <v>10</v>
          </cell>
        </row>
        <row r="1529">
          <cell r="T1529">
            <v>45721</v>
          </cell>
          <cell r="U1529">
            <v>10</v>
          </cell>
        </row>
        <row r="1530">
          <cell r="T1530">
            <v>45722</v>
          </cell>
          <cell r="U1530">
            <v>10</v>
          </cell>
        </row>
        <row r="1531">
          <cell r="T1531">
            <v>45723</v>
          </cell>
          <cell r="U1531">
            <v>10</v>
          </cell>
        </row>
        <row r="1532">
          <cell r="T1532">
            <v>45724</v>
          </cell>
          <cell r="U1532">
            <v>10</v>
          </cell>
        </row>
        <row r="1533">
          <cell r="T1533">
            <v>45725</v>
          </cell>
          <cell r="U1533">
            <v>11</v>
          </cell>
        </row>
        <row r="1534">
          <cell r="T1534">
            <v>45726</v>
          </cell>
          <cell r="U1534">
            <v>11</v>
          </cell>
        </row>
        <row r="1535">
          <cell r="T1535">
            <v>45727</v>
          </cell>
          <cell r="U1535">
            <v>11</v>
          </cell>
        </row>
        <row r="1536">
          <cell r="T1536">
            <v>45728</v>
          </cell>
          <cell r="U1536">
            <v>11</v>
          </cell>
        </row>
        <row r="1537">
          <cell r="T1537">
            <v>45729</v>
          </cell>
          <cell r="U1537">
            <v>11</v>
          </cell>
        </row>
        <row r="1538">
          <cell r="T1538">
            <v>45730</v>
          </cell>
          <cell r="U1538">
            <v>11</v>
          </cell>
        </row>
        <row r="1539">
          <cell r="T1539">
            <v>45731</v>
          </cell>
          <cell r="U1539">
            <v>11</v>
          </cell>
        </row>
        <row r="1540">
          <cell r="T1540">
            <v>45732</v>
          </cell>
          <cell r="U1540">
            <v>12</v>
          </cell>
        </row>
        <row r="1541">
          <cell r="T1541">
            <v>45733</v>
          </cell>
          <cell r="U1541">
            <v>12</v>
          </cell>
        </row>
        <row r="1542">
          <cell r="T1542">
            <v>45734</v>
          </cell>
          <cell r="U1542">
            <v>12</v>
          </cell>
        </row>
        <row r="1543">
          <cell r="T1543">
            <v>45735</v>
          </cell>
          <cell r="U1543">
            <v>12</v>
          </cell>
        </row>
        <row r="1544">
          <cell r="T1544">
            <v>45736</v>
          </cell>
          <cell r="U1544">
            <v>12</v>
          </cell>
        </row>
        <row r="1545">
          <cell r="T1545">
            <v>45737</v>
          </cell>
          <cell r="U1545">
            <v>12</v>
          </cell>
        </row>
        <row r="1546">
          <cell r="T1546">
            <v>45738</v>
          </cell>
          <cell r="U1546">
            <v>12</v>
          </cell>
        </row>
        <row r="1547">
          <cell r="T1547">
            <v>45739</v>
          </cell>
          <cell r="U1547">
            <v>13</v>
          </cell>
        </row>
        <row r="1548">
          <cell r="T1548">
            <v>45740</v>
          </cell>
          <cell r="U1548">
            <v>13</v>
          </cell>
        </row>
        <row r="1549">
          <cell r="T1549">
            <v>45741</v>
          </cell>
          <cell r="U1549">
            <v>13</v>
          </cell>
        </row>
        <row r="1550">
          <cell r="T1550">
            <v>45742</v>
          </cell>
          <cell r="U1550">
            <v>13</v>
          </cell>
        </row>
        <row r="1551">
          <cell r="T1551">
            <v>45743</v>
          </cell>
          <cell r="U1551">
            <v>13</v>
          </cell>
        </row>
        <row r="1552">
          <cell r="T1552">
            <v>45744</v>
          </cell>
          <cell r="U1552">
            <v>13</v>
          </cell>
        </row>
        <row r="1553">
          <cell r="T1553">
            <v>45745</v>
          </cell>
          <cell r="U1553">
            <v>13</v>
          </cell>
        </row>
        <row r="1554">
          <cell r="T1554">
            <v>45746</v>
          </cell>
          <cell r="U1554">
            <v>14</v>
          </cell>
        </row>
        <row r="1555">
          <cell r="T1555">
            <v>45747</v>
          </cell>
          <cell r="U1555">
            <v>14</v>
          </cell>
        </row>
        <row r="1556">
          <cell r="T1556">
            <v>45748</v>
          </cell>
          <cell r="U1556">
            <v>14</v>
          </cell>
        </row>
        <row r="1557">
          <cell r="T1557">
            <v>45749</v>
          </cell>
          <cell r="U1557">
            <v>14</v>
          </cell>
        </row>
        <row r="1558">
          <cell r="T1558">
            <v>45750</v>
          </cell>
          <cell r="U1558">
            <v>14</v>
          </cell>
        </row>
        <row r="1559">
          <cell r="T1559">
            <v>45751</v>
          </cell>
          <cell r="U1559">
            <v>14</v>
          </cell>
        </row>
        <row r="1560">
          <cell r="T1560">
            <v>45752</v>
          </cell>
          <cell r="U1560">
            <v>14</v>
          </cell>
        </row>
        <row r="1561">
          <cell r="T1561">
            <v>45753</v>
          </cell>
          <cell r="U1561">
            <v>15</v>
          </cell>
        </row>
        <row r="1562">
          <cell r="T1562">
            <v>45754</v>
          </cell>
          <cell r="U1562">
            <v>15</v>
          </cell>
        </row>
        <row r="1563">
          <cell r="T1563">
            <v>45755</v>
          </cell>
          <cell r="U1563">
            <v>15</v>
          </cell>
        </row>
        <row r="1564">
          <cell r="T1564">
            <v>45756</v>
          </cell>
          <cell r="U1564">
            <v>15</v>
          </cell>
        </row>
        <row r="1565">
          <cell r="T1565">
            <v>45757</v>
          </cell>
          <cell r="U1565">
            <v>15</v>
          </cell>
        </row>
        <row r="1566">
          <cell r="T1566">
            <v>45758</v>
          </cell>
          <cell r="U1566">
            <v>15</v>
          </cell>
        </row>
        <row r="1567">
          <cell r="T1567">
            <v>45759</v>
          </cell>
          <cell r="U1567">
            <v>15</v>
          </cell>
        </row>
        <row r="1568">
          <cell r="T1568">
            <v>45760</v>
          </cell>
          <cell r="U1568">
            <v>16</v>
          </cell>
        </row>
        <row r="1569">
          <cell r="T1569">
            <v>45761</v>
          </cell>
          <cell r="U1569">
            <v>16</v>
          </cell>
        </row>
        <row r="1570">
          <cell r="T1570">
            <v>45762</v>
          </cell>
          <cell r="U1570">
            <v>16</v>
          </cell>
        </row>
        <row r="1571">
          <cell r="T1571">
            <v>45763</v>
          </cell>
          <cell r="U1571">
            <v>16</v>
          </cell>
        </row>
        <row r="1572">
          <cell r="T1572">
            <v>45764</v>
          </cell>
          <cell r="U1572">
            <v>16</v>
          </cell>
        </row>
        <row r="1573">
          <cell r="T1573">
            <v>45765</v>
          </cell>
          <cell r="U1573">
            <v>16</v>
          </cell>
        </row>
        <row r="1574">
          <cell r="T1574">
            <v>45766</v>
          </cell>
          <cell r="U1574">
            <v>16</v>
          </cell>
        </row>
        <row r="1575">
          <cell r="T1575">
            <v>45767</v>
          </cell>
          <cell r="U1575">
            <v>17</v>
          </cell>
        </row>
        <row r="1576">
          <cell r="T1576">
            <v>45768</v>
          </cell>
          <cell r="U1576">
            <v>17</v>
          </cell>
        </row>
        <row r="1577">
          <cell r="T1577">
            <v>45769</v>
          </cell>
          <cell r="U1577">
            <v>17</v>
          </cell>
        </row>
        <row r="1578">
          <cell r="T1578">
            <v>45770</v>
          </cell>
          <cell r="U1578">
            <v>17</v>
          </cell>
        </row>
        <row r="1579">
          <cell r="T1579">
            <v>45771</v>
          </cell>
          <cell r="U1579">
            <v>17</v>
          </cell>
        </row>
        <row r="1580">
          <cell r="T1580">
            <v>45772</v>
          </cell>
          <cell r="U1580">
            <v>17</v>
          </cell>
        </row>
        <row r="1581">
          <cell r="T1581">
            <v>45773</v>
          </cell>
          <cell r="U1581">
            <v>17</v>
          </cell>
        </row>
        <row r="1582">
          <cell r="T1582">
            <v>45774</v>
          </cell>
          <cell r="U1582">
            <v>18</v>
          </cell>
        </row>
        <row r="1583">
          <cell r="T1583">
            <v>45775</v>
          </cell>
          <cell r="U1583">
            <v>18</v>
          </cell>
        </row>
        <row r="1584">
          <cell r="T1584">
            <v>45776</v>
          </cell>
          <cell r="U1584">
            <v>18</v>
          </cell>
        </row>
        <row r="1585">
          <cell r="T1585">
            <v>45777</v>
          </cell>
          <cell r="U1585">
            <v>18</v>
          </cell>
        </row>
        <row r="1586">
          <cell r="T1586">
            <v>45778</v>
          </cell>
          <cell r="U1586">
            <v>18</v>
          </cell>
        </row>
        <row r="1587">
          <cell r="T1587">
            <v>45779</v>
          </cell>
          <cell r="U1587">
            <v>18</v>
          </cell>
        </row>
        <row r="1588">
          <cell r="T1588">
            <v>45780</v>
          </cell>
          <cell r="U1588">
            <v>18</v>
          </cell>
        </row>
        <row r="1589">
          <cell r="T1589">
            <v>45781</v>
          </cell>
          <cell r="U1589">
            <v>19</v>
          </cell>
        </row>
        <row r="1590">
          <cell r="T1590">
            <v>45782</v>
          </cell>
          <cell r="U1590">
            <v>19</v>
          </cell>
        </row>
        <row r="1591">
          <cell r="T1591">
            <v>45783</v>
          </cell>
          <cell r="U1591">
            <v>19</v>
          </cell>
        </row>
        <row r="1592">
          <cell r="T1592">
            <v>45784</v>
          </cell>
          <cell r="U1592">
            <v>19</v>
          </cell>
        </row>
        <row r="1593">
          <cell r="T1593">
            <v>45785</v>
          </cell>
          <cell r="U1593">
            <v>19</v>
          </cell>
        </row>
        <row r="1594">
          <cell r="T1594">
            <v>45786</v>
          </cell>
          <cell r="U1594">
            <v>19</v>
          </cell>
        </row>
        <row r="1595">
          <cell r="T1595">
            <v>45787</v>
          </cell>
          <cell r="U1595">
            <v>19</v>
          </cell>
        </row>
        <row r="1596">
          <cell r="T1596">
            <v>45788</v>
          </cell>
          <cell r="U1596">
            <v>20</v>
          </cell>
        </row>
        <row r="1597">
          <cell r="T1597">
            <v>45789</v>
          </cell>
          <cell r="U1597">
            <v>20</v>
          </cell>
        </row>
        <row r="1598">
          <cell r="T1598">
            <v>45790</v>
          </cell>
          <cell r="U1598">
            <v>20</v>
          </cell>
        </row>
        <row r="1599">
          <cell r="T1599">
            <v>45791</v>
          </cell>
          <cell r="U1599">
            <v>20</v>
          </cell>
        </row>
        <row r="1600">
          <cell r="T1600">
            <v>45792</v>
          </cell>
          <cell r="U1600">
            <v>20</v>
          </cell>
        </row>
        <row r="1601">
          <cell r="T1601">
            <v>45793</v>
          </cell>
          <cell r="U1601">
            <v>20</v>
          </cell>
        </row>
        <row r="1602">
          <cell r="T1602">
            <v>45794</v>
          </cell>
          <cell r="U1602">
            <v>20</v>
          </cell>
        </row>
        <row r="1603">
          <cell r="T1603">
            <v>45795</v>
          </cell>
          <cell r="U1603">
            <v>21</v>
          </cell>
        </row>
        <row r="1604">
          <cell r="T1604">
            <v>45796</v>
          </cell>
          <cell r="U1604">
            <v>21</v>
          </cell>
        </row>
        <row r="1605">
          <cell r="T1605">
            <v>45797</v>
          </cell>
          <cell r="U1605">
            <v>21</v>
          </cell>
        </row>
        <row r="1606">
          <cell r="T1606">
            <v>45798</v>
          </cell>
          <cell r="U1606">
            <v>21</v>
          </cell>
        </row>
        <row r="1607">
          <cell r="T1607">
            <v>45799</v>
          </cell>
          <cell r="U1607">
            <v>21</v>
          </cell>
        </row>
        <row r="1608">
          <cell r="T1608">
            <v>45800</v>
          </cell>
          <cell r="U1608">
            <v>21</v>
          </cell>
        </row>
        <row r="1609">
          <cell r="T1609">
            <v>45801</v>
          </cell>
          <cell r="U1609">
            <v>21</v>
          </cell>
        </row>
        <row r="1610">
          <cell r="T1610">
            <v>45802</v>
          </cell>
          <cell r="U1610">
            <v>22</v>
          </cell>
        </row>
        <row r="1611">
          <cell r="T1611">
            <v>45803</v>
          </cell>
          <cell r="U1611">
            <v>22</v>
          </cell>
        </row>
        <row r="1612">
          <cell r="T1612">
            <v>45804</v>
          </cell>
          <cell r="U1612">
            <v>22</v>
          </cell>
        </row>
        <row r="1613">
          <cell r="T1613">
            <v>45805</v>
          </cell>
          <cell r="U1613">
            <v>22</v>
          </cell>
        </row>
        <row r="1614">
          <cell r="T1614">
            <v>45806</v>
          </cell>
          <cell r="U1614">
            <v>22</v>
          </cell>
        </row>
        <row r="1615">
          <cell r="T1615">
            <v>45807</v>
          </cell>
          <cell r="U1615">
            <v>22</v>
          </cell>
        </row>
        <row r="1616">
          <cell r="T1616">
            <v>45808</v>
          </cell>
          <cell r="U1616">
            <v>22</v>
          </cell>
        </row>
        <row r="1617">
          <cell r="T1617">
            <v>45809</v>
          </cell>
          <cell r="U1617">
            <v>23</v>
          </cell>
        </row>
        <row r="1618">
          <cell r="T1618">
            <v>45810</v>
          </cell>
          <cell r="U1618">
            <v>23</v>
          </cell>
        </row>
        <row r="1619">
          <cell r="T1619">
            <v>45811</v>
          </cell>
          <cell r="U1619">
            <v>23</v>
          </cell>
        </row>
        <row r="1620">
          <cell r="T1620">
            <v>45812</v>
          </cell>
          <cell r="U1620">
            <v>23</v>
          </cell>
        </row>
        <row r="1621">
          <cell r="T1621">
            <v>45813</v>
          </cell>
          <cell r="U1621">
            <v>23</v>
          </cell>
        </row>
        <row r="1622">
          <cell r="T1622">
            <v>45814</v>
          </cell>
          <cell r="U1622">
            <v>23</v>
          </cell>
        </row>
        <row r="1623">
          <cell r="T1623">
            <v>45815</v>
          </cell>
          <cell r="U1623">
            <v>23</v>
          </cell>
        </row>
        <row r="1624">
          <cell r="T1624">
            <v>45816</v>
          </cell>
          <cell r="U1624">
            <v>24</v>
          </cell>
        </row>
        <row r="1625">
          <cell r="T1625">
            <v>45817</v>
          </cell>
          <cell r="U1625">
            <v>24</v>
          </cell>
        </row>
        <row r="1626">
          <cell r="T1626">
            <v>45818</v>
          </cell>
          <cell r="U1626">
            <v>24</v>
          </cell>
        </row>
        <row r="1627">
          <cell r="T1627">
            <v>45819</v>
          </cell>
          <cell r="U1627">
            <v>24</v>
          </cell>
        </row>
        <row r="1628">
          <cell r="T1628">
            <v>45820</v>
          </cell>
          <cell r="U1628">
            <v>24</v>
          </cell>
        </row>
        <row r="1629">
          <cell r="T1629">
            <v>45821</v>
          </cell>
          <cell r="U1629">
            <v>24</v>
          </cell>
        </row>
        <row r="1630">
          <cell r="T1630">
            <v>45822</v>
          </cell>
          <cell r="U1630">
            <v>24</v>
          </cell>
        </row>
        <row r="1631">
          <cell r="T1631">
            <v>45823</v>
          </cell>
          <cell r="U1631">
            <v>25</v>
          </cell>
        </row>
        <row r="1632">
          <cell r="T1632">
            <v>45824</v>
          </cell>
          <cell r="U1632">
            <v>25</v>
          </cell>
        </row>
        <row r="1633">
          <cell r="T1633">
            <v>45825</v>
          </cell>
          <cell r="U1633">
            <v>25</v>
          </cell>
        </row>
        <row r="1634">
          <cell r="T1634">
            <v>45826</v>
          </cell>
          <cell r="U1634">
            <v>25</v>
          </cell>
        </row>
        <row r="1635">
          <cell r="T1635">
            <v>45827</v>
          </cell>
          <cell r="U1635">
            <v>25</v>
          </cell>
        </row>
        <row r="1636">
          <cell r="T1636">
            <v>45828</v>
          </cell>
          <cell r="U1636">
            <v>25</v>
          </cell>
        </row>
        <row r="1637">
          <cell r="T1637">
            <v>45829</v>
          </cell>
          <cell r="U1637">
            <v>25</v>
          </cell>
        </row>
        <row r="1638">
          <cell r="T1638">
            <v>45830</v>
          </cell>
          <cell r="U1638">
            <v>26</v>
          </cell>
        </row>
        <row r="1639">
          <cell r="T1639">
            <v>45831</v>
          </cell>
          <cell r="U1639">
            <v>26</v>
          </cell>
        </row>
        <row r="1640">
          <cell r="T1640">
            <v>45832</v>
          </cell>
          <cell r="U1640">
            <v>26</v>
          </cell>
        </row>
        <row r="1641">
          <cell r="T1641">
            <v>45833</v>
          </cell>
          <cell r="U1641">
            <v>26</v>
          </cell>
        </row>
        <row r="1642">
          <cell r="T1642">
            <v>45834</v>
          </cell>
          <cell r="U1642">
            <v>26</v>
          </cell>
        </row>
        <row r="1643">
          <cell r="T1643">
            <v>45835</v>
          </cell>
          <cell r="U1643">
            <v>26</v>
          </cell>
        </row>
        <row r="1644">
          <cell r="T1644">
            <v>45836</v>
          </cell>
          <cell r="U1644">
            <v>26</v>
          </cell>
        </row>
        <row r="1645">
          <cell r="T1645">
            <v>45837</v>
          </cell>
          <cell r="U1645">
            <v>27</v>
          </cell>
        </row>
        <row r="1646">
          <cell r="T1646">
            <v>45838</v>
          </cell>
          <cell r="U1646">
            <v>27</v>
          </cell>
        </row>
        <row r="1647">
          <cell r="T1647">
            <v>45839</v>
          </cell>
          <cell r="U1647">
            <v>27</v>
          </cell>
        </row>
        <row r="1648">
          <cell r="T1648">
            <v>45840</v>
          </cell>
          <cell r="U1648">
            <v>27</v>
          </cell>
        </row>
        <row r="1649">
          <cell r="T1649">
            <v>45841</v>
          </cell>
          <cell r="U1649">
            <v>27</v>
          </cell>
        </row>
        <row r="1650">
          <cell r="T1650">
            <v>45842</v>
          </cell>
          <cell r="U1650">
            <v>27</v>
          </cell>
        </row>
        <row r="1651">
          <cell r="T1651">
            <v>45843</v>
          </cell>
          <cell r="U1651">
            <v>27</v>
          </cell>
        </row>
        <row r="1652">
          <cell r="T1652">
            <v>45844</v>
          </cell>
          <cell r="U1652">
            <v>28</v>
          </cell>
        </row>
        <row r="1653">
          <cell r="T1653">
            <v>45845</v>
          </cell>
          <cell r="U1653">
            <v>28</v>
          </cell>
        </row>
        <row r="1654">
          <cell r="T1654">
            <v>45846</v>
          </cell>
          <cell r="U1654">
            <v>28</v>
          </cell>
        </row>
        <row r="1655">
          <cell r="T1655">
            <v>45847</v>
          </cell>
          <cell r="U1655">
            <v>28</v>
          </cell>
        </row>
        <row r="1656">
          <cell r="T1656">
            <v>45848</v>
          </cell>
          <cell r="U1656">
            <v>28</v>
          </cell>
        </row>
        <row r="1657">
          <cell r="T1657">
            <v>45849</v>
          </cell>
          <cell r="U1657">
            <v>28</v>
          </cell>
        </row>
        <row r="1658">
          <cell r="T1658">
            <v>45850</v>
          </cell>
          <cell r="U1658">
            <v>28</v>
          </cell>
        </row>
        <row r="1659">
          <cell r="T1659">
            <v>45851</v>
          </cell>
          <cell r="U1659">
            <v>29</v>
          </cell>
        </row>
        <row r="1660">
          <cell r="T1660">
            <v>45852</v>
          </cell>
          <cell r="U1660">
            <v>29</v>
          </cell>
        </row>
        <row r="1661">
          <cell r="T1661">
            <v>45853</v>
          </cell>
          <cell r="U1661">
            <v>29</v>
          </cell>
        </row>
        <row r="1662">
          <cell r="T1662">
            <v>45854</v>
          </cell>
          <cell r="U1662">
            <v>29</v>
          </cell>
        </row>
        <row r="1663">
          <cell r="T1663">
            <v>45855</v>
          </cell>
          <cell r="U1663">
            <v>29</v>
          </cell>
        </row>
        <row r="1664">
          <cell r="T1664">
            <v>45856</v>
          </cell>
          <cell r="U1664">
            <v>29</v>
          </cell>
        </row>
        <row r="1665">
          <cell r="T1665">
            <v>45857</v>
          </cell>
          <cell r="U1665">
            <v>29</v>
          </cell>
        </row>
        <row r="1666">
          <cell r="T1666">
            <v>45858</v>
          </cell>
          <cell r="U1666">
            <v>30</v>
          </cell>
        </row>
        <row r="1667">
          <cell r="T1667">
            <v>45859</v>
          </cell>
          <cell r="U1667">
            <v>30</v>
          </cell>
        </row>
        <row r="1668">
          <cell r="T1668">
            <v>45860</v>
          </cell>
          <cell r="U1668">
            <v>30</v>
          </cell>
        </row>
        <row r="1669">
          <cell r="T1669">
            <v>45861</v>
          </cell>
          <cell r="U1669">
            <v>30</v>
          </cell>
        </row>
        <row r="1670">
          <cell r="T1670">
            <v>45862</v>
          </cell>
          <cell r="U1670">
            <v>30</v>
          </cell>
        </row>
        <row r="1671">
          <cell r="T1671">
            <v>45863</v>
          </cell>
          <cell r="U1671">
            <v>30</v>
          </cell>
        </row>
        <row r="1672">
          <cell r="T1672">
            <v>45864</v>
          </cell>
          <cell r="U1672">
            <v>30</v>
          </cell>
        </row>
        <row r="1673">
          <cell r="T1673">
            <v>45865</v>
          </cell>
          <cell r="U1673">
            <v>31</v>
          </cell>
        </row>
        <row r="1674">
          <cell r="T1674">
            <v>45866</v>
          </cell>
          <cell r="U1674">
            <v>31</v>
          </cell>
        </row>
        <row r="1675">
          <cell r="T1675">
            <v>45867</v>
          </cell>
          <cell r="U1675">
            <v>31</v>
          </cell>
        </row>
        <row r="1676">
          <cell r="T1676">
            <v>45868</v>
          </cell>
          <cell r="U1676">
            <v>31</v>
          </cell>
        </row>
        <row r="1677">
          <cell r="T1677">
            <v>45869</v>
          </cell>
          <cell r="U1677">
            <v>31</v>
          </cell>
        </row>
        <row r="1678">
          <cell r="T1678">
            <v>45870</v>
          </cell>
          <cell r="U1678">
            <v>31</v>
          </cell>
        </row>
        <row r="1679">
          <cell r="T1679">
            <v>45871</v>
          </cell>
          <cell r="U1679">
            <v>31</v>
          </cell>
        </row>
        <row r="1680">
          <cell r="T1680">
            <v>45872</v>
          </cell>
          <cell r="U1680">
            <v>32</v>
          </cell>
        </row>
        <row r="1681">
          <cell r="T1681">
            <v>45873</v>
          </cell>
          <cell r="U1681">
            <v>32</v>
          </cell>
        </row>
        <row r="1682">
          <cell r="T1682">
            <v>45874</v>
          </cell>
          <cell r="U1682">
            <v>32</v>
          </cell>
        </row>
        <row r="1683">
          <cell r="T1683">
            <v>45875</v>
          </cell>
          <cell r="U1683">
            <v>32</v>
          </cell>
        </row>
        <row r="1684">
          <cell r="T1684">
            <v>45876</v>
          </cell>
          <cell r="U1684">
            <v>32</v>
          </cell>
        </row>
        <row r="1685">
          <cell r="T1685">
            <v>45877</v>
          </cell>
          <cell r="U1685">
            <v>32</v>
          </cell>
        </row>
        <row r="1686">
          <cell r="T1686">
            <v>45878</v>
          </cell>
          <cell r="U1686">
            <v>32</v>
          </cell>
        </row>
        <row r="1687">
          <cell r="T1687">
            <v>45879</v>
          </cell>
          <cell r="U1687">
            <v>33</v>
          </cell>
        </row>
        <row r="1688">
          <cell r="T1688">
            <v>45880</v>
          </cell>
          <cell r="U1688">
            <v>33</v>
          </cell>
        </row>
        <row r="1689">
          <cell r="T1689">
            <v>45881</v>
          </cell>
          <cell r="U1689">
            <v>33</v>
          </cell>
        </row>
        <row r="1690">
          <cell r="T1690">
            <v>45882</v>
          </cell>
          <cell r="U1690">
            <v>33</v>
          </cell>
        </row>
        <row r="1691">
          <cell r="T1691">
            <v>45883</v>
          </cell>
          <cell r="U1691">
            <v>33</v>
          </cell>
        </row>
        <row r="1692">
          <cell r="T1692">
            <v>45884</v>
          </cell>
          <cell r="U1692">
            <v>33</v>
          </cell>
        </row>
        <row r="1693">
          <cell r="T1693">
            <v>45885</v>
          </cell>
          <cell r="U1693">
            <v>33</v>
          </cell>
        </row>
        <row r="1694">
          <cell r="T1694">
            <v>45886</v>
          </cell>
          <cell r="U1694">
            <v>34</v>
          </cell>
        </row>
        <row r="1695">
          <cell r="T1695">
            <v>45887</v>
          </cell>
          <cell r="U1695">
            <v>34</v>
          </cell>
        </row>
        <row r="1696">
          <cell r="T1696">
            <v>45888</v>
          </cell>
          <cell r="U1696">
            <v>34</v>
          </cell>
        </row>
        <row r="1697">
          <cell r="T1697">
            <v>45889</v>
          </cell>
          <cell r="U1697">
            <v>34</v>
          </cell>
        </row>
        <row r="1698">
          <cell r="T1698">
            <v>45890</v>
          </cell>
          <cell r="U1698">
            <v>34</v>
          </cell>
        </row>
        <row r="1699">
          <cell r="T1699">
            <v>45891</v>
          </cell>
          <cell r="U1699">
            <v>34</v>
          </cell>
        </row>
        <row r="1700">
          <cell r="T1700">
            <v>45892</v>
          </cell>
          <cell r="U1700">
            <v>34</v>
          </cell>
        </row>
        <row r="1701">
          <cell r="T1701">
            <v>45893</v>
          </cell>
          <cell r="U1701">
            <v>35</v>
          </cell>
        </row>
        <row r="1702">
          <cell r="T1702">
            <v>45894</v>
          </cell>
          <cell r="U1702">
            <v>35</v>
          </cell>
        </row>
        <row r="1703">
          <cell r="T1703">
            <v>45895</v>
          </cell>
          <cell r="U1703">
            <v>35</v>
          </cell>
        </row>
        <row r="1704">
          <cell r="T1704">
            <v>45896</v>
          </cell>
          <cell r="U1704">
            <v>35</v>
          </cell>
        </row>
        <row r="1705">
          <cell r="T1705">
            <v>45897</v>
          </cell>
          <cell r="U1705">
            <v>35</v>
          </cell>
        </row>
        <row r="1706">
          <cell r="T1706">
            <v>45898</v>
          </cell>
          <cell r="U1706">
            <v>35</v>
          </cell>
        </row>
        <row r="1707">
          <cell r="T1707">
            <v>45899</v>
          </cell>
          <cell r="U1707">
            <v>35</v>
          </cell>
        </row>
        <row r="1708">
          <cell r="T1708">
            <v>45900</v>
          </cell>
          <cell r="U1708">
            <v>36</v>
          </cell>
        </row>
        <row r="1709">
          <cell r="T1709">
            <v>45901</v>
          </cell>
          <cell r="U1709">
            <v>36</v>
          </cell>
        </row>
        <row r="1710">
          <cell r="T1710">
            <v>45902</v>
          </cell>
          <cell r="U1710">
            <v>36</v>
          </cell>
        </row>
        <row r="1711">
          <cell r="T1711">
            <v>45903</v>
          </cell>
          <cell r="U1711">
            <v>36</v>
          </cell>
        </row>
        <row r="1712">
          <cell r="T1712">
            <v>45904</v>
          </cell>
          <cell r="U1712">
            <v>36</v>
          </cell>
        </row>
        <row r="1713">
          <cell r="T1713">
            <v>45905</v>
          </cell>
          <cell r="U1713">
            <v>36</v>
          </cell>
        </row>
        <row r="1714">
          <cell r="T1714">
            <v>45906</v>
          </cell>
          <cell r="U1714">
            <v>36</v>
          </cell>
        </row>
        <row r="1715">
          <cell r="T1715">
            <v>45907</v>
          </cell>
          <cell r="U1715">
            <v>37</v>
          </cell>
        </row>
        <row r="1716">
          <cell r="T1716">
            <v>45908</v>
          </cell>
          <cell r="U1716">
            <v>37</v>
          </cell>
        </row>
        <row r="1717">
          <cell r="T1717">
            <v>45909</v>
          </cell>
          <cell r="U1717">
            <v>37</v>
          </cell>
        </row>
        <row r="1718">
          <cell r="T1718">
            <v>45910</v>
          </cell>
          <cell r="U1718">
            <v>37</v>
          </cell>
        </row>
        <row r="1719">
          <cell r="T1719">
            <v>45911</v>
          </cell>
          <cell r="U1719">
            <v>37</v>
          </cell>
        </row>
        <row r="1720">
          <cell r="T1720">
            <v>45912</v>
          </cell>
          <cell r="U1720">
            <v>37</v>
          </cell>
        </row>
        <row r="1721">
          <cell r="T1721">
            <v>45913</v>
          </cell>
          <cell r="U1721">
            <v>37</v>
          </cell>
        </row>
        <row r="1722">
          <cell r="T1722">
            <v>45914</v>
          </cell>
          <cell r="U1722">
            <v>38</v>
          </cell>
        </row>
        <row r="1723">
          <cell r="T1723">
            <v>45915</v>
          </cell>
          <cell r="U1723">
            <v>38</v>
          </cell>
        </row>
        <row r="1724">
          <cell r="T1724">
            <v>45916</v>
          </cell>
          <cell r="U1724">
            <v>38</v>
          </cell>
        </row>
        <row r="1725">
          <cell r="T1725">
            <v>45917</v>
          </cell>
          <cell r="U1725">
            <v>38</v>
          </cell>
        </row>
        <row r="1726">
          <cell r="T1726">
            <v>45918</v>
          </cell>
          <cell r="U1726">
            <v>38</v>
          </cell>
        </row>
        <row r="1727">
          <cell r="T1727">
            <v>45919</v>
          </cell>
          <cell r="U1727">
            <v>38</v>
          </cell>
        </row>
        <row r="1728">
          <cell r="T1728">
            <v>45920</v>
          </cell>
          <cell r="U1728">
            <v>38</v>
          </cell>
        </row>
        <row r="1729">
          <cell r="T1729">
            <v>45921</v>
          </cell>
          <cell r="U1729">
            <v>39</v>
          </cell>
        </row>
        <row r="1730">
          <cell r="T1730">
            <v>45922</v>
          </cell>
          <cell r="U1730">
            <v>39</v>
          </cell>
        </row>
        <row r="1731">
          <cell r="T1731">
            <v>45923</v>
          </cell>
          <cell r="U1731">
            <v>39</v>
          </cell>
        </row>
        <row r="1732">
          <cell r="T1732">
            <v>45924</v>
          </cell>
          <cell r="U1732">
            <v>39</v>
          </cell>
        </row>
        <row r="1733">
          <cell r="T1733">
            <v>45925</v>
          </cell>
          <cell r="U1733">
            <v>39</v>
          </cell>
        </row>
        <row r="1734">
          <cell r="T1734">
            <v>45926</v>
          </cell>
          <cell r="U1734">
            <v>39</v>
          </cell>
        </row>
        <row r="1735">
          <cell r="T1735">
            <v>45927</v>
          </cell>
          <cell r="U1735">
            <v>39</v>
          </cell>
        </row>
        <row r="1736">
          <cell r="T1736">
            <v>45928</v>
          </cell>
          <cell r="U1736">
            <v>40</v>
          </cell>
        </row>
        <row r="1737">
          <cell r="T1737">
            <v>45929</v>
          </cell>
          <cell r="U1737">
            <v>40</v>
          </cell>
        </row>
        <row r="1738">
          <cell r="T1738">
            <v>45930</v>
          </cell>
          <cell r="U1738">
            <v>40</v>
          </cell>
        </row>
        <row r="1739">
          <cell r="T1739">
            <v>45931</v>
          </cell>
          <cell r="U1739">
            <v>40</v>
          </cell>
        </row>
        <row r="1740">
          <cell r="T1740">
            <v>45932</v>
          </cell>
          <cell r="U1740">
            <v>40</v>
          </cell>
        </row>
        <row r="1741">
          <cell r="T1741">
            <v>45933</v>
          </cell>
          <cell r="U1741">
            <v>40</v>
          </cell>
        </row>
        <row r="1742">
          <cell r="T1742">
            <v>45934</v>
          </cell>
          <cell r="U1742">
            <v>40</v>
          </cell>
        </row>
        <row r="1743">
          <cell r="T1743">
            <v>45935</v>
          </cell>
          <cell r="U1743">
            <v>41</v>
          </cell>
        </row>
        <row r="1744">
          <cell r="T1744">
            <v>45936</v>
          </cell>
          <cell r="U1744">
            <v>41</v>
          </cell>
        </row>
        <row r="1745">
          <cell r="T1745">
            <v>45937</v>
          </cell>
          <cell r="U1745">
            <v>41</v>
          </cell>
        </row>
        <row r="1746">
          <cell r="T1746">
            <v>45938</v>
          </cell>
          <cell r="U1746">
            <v>41</v>
          </cell>
        </row>
        <row r="1747">
          <cell r="T1747">
            <v>45939</v>
          </cell>
          <cell r="U1747">
            <v>41</v>
          </cell>
        </row>
        <row r="1748">
          <cell r="T1748">
            <v>45940</v>
          </cell>
          <cell r="U1748">
            <v>41</v>
          </cell>
        </row>
        <row r="1749">
          <cell r="T1749">
            <v>45941</v>
          </cell>
          <cell r="U1749">
            <v>41</v>
          </cell>
        </row>
        <row r="1750">
          <cell r="T1750">
            <v>45942</v>
          </cell>
          <cell r="U1750">
            <v>42</v>
          </cell>
        </row>
        <row r="1751">
          <cell r="T1751">
            <v>45943</v>
          </cell>
          <cell r="U1751">
            <v>42</v>
          </cell>
        </row>
        <row r="1752">
          <cell r="T1752">
            <v>45944</v>
          </cell>
          <cell r="U1752">
            <v>42</v>
          </cell>
        </row>
        <row r="1753">
          <cell r="T1753">
            <v>45945</v>
          </cell>
          <cell r="U1753">
            <v>42</v>
          </cell>
        </row>
        <row r="1754">
          <cell r="T1754">
            <v>45946</v>
          </cell>
          <cell r="U1754">
            <v>42</v>
          </cell>
        </row>
        <row r="1755">
          <cell r="T1755">
            <v>45947</v>
          </cell>
          <cell r="U1755">
            <v>42</v>
          </cell>
        </row>
        <row r="1756">
          <cell r="T1756">
            <v>45948</v>
          </cell>
          <cell r="U1756">
            <v>42</v>
          </cell>
        </row>
        <row r="1757">
          <cell r="T1757">
            <v>45949</v>
          </cell>
          <cell r="U1757">
            <v>43</v>
          </cell>
        </row>
        <row r="1758">
          <cell r="T1758">
            <v>45950</v>
          </cell>
          <cell r="U1758">
            <v>43</v>
          </cell>
        </row>
        <row r="1759">
          <cell r="T1759">
            <v>45951</v>
          </cell>
          <cell r="U1759">
            <v>43</v>
          </cell>
        </row>
        <row r="1760">
          <cell r="T1760">
            <v>45952</v>
          </cell>
          <cell r="U1760">
            <v>43</v>
          </cell>
        </row>
        <row r="1761">
          <cell r="T1761">
            <v>45953</v>
          </cell>
          <cell r="U1761">
            <v>43</v>
          </cell>
        </row>
        <row r="1762">
          <cell r="T1762">
            <v>45954</v>
          </cell>
          <cell r="U1762">
            <v>43</v>
          </cell>
        </row>
        <row r="1763">
          <cell r="T1763">
            <v>45955</v>
          </cell>
          <cell r="U1763">
            <v>43</v>
          </cell>
        </row>
        <row r="1764">
          <cell r="T1764">
            <v>45956</v>
          </cell>
          <cell r="U1764">
            <v>44</v>
          </cell>
        </row>
        <row r="1765">
          <cell r="T1765">
            <v>45957</v>
          </cell>
          <cell r="U1765">
            <v>44</v>
          </cell>
        </row>
        <row r="1766">
          <cell r="T1766">
            <v>45958</v>
          </cell>
          <cell r="U1766">
            <v>44</v>
          </cell>
        </row>
        <row r="1767">
          <cell r="T1767">
            <v>45959</v>
          </cell>
          <cell r="U1767">
            <v>44</v>
          </cell>
        </row>
        <row r="1768">
          <cell r="T1768">
            <v>45960</v>
          </cell>
          <cell r="U1768">
            <v>44</v>
          </cell>
        </row>
        <row r="1769">
          <cell r="T1769">
            <v>45961</v>
          </cell>
          <cell r="U1769">
            <v>44</v>
          </cell>
        </row>
        <row r="1770">
          <cell r="T1770">
            <v>45962</v>
          </cell>
          <cell r="U1770">
            <v>44</v>
          </cell>
        </row>
        <row r="1771">
          <cell r="T1771">
            <v>45963</v>
          </cell>
          <cell r="U1771">
            <v>45</v>
          </cell>
        </row>
        <row r="1772">
          <cell r="T1772">
            <v>45964</v>
          </cell>
          <cell r="U1772">
            <v>45</v>
          </cell>
        </row>
        <row r="1773">
          <cell r="T1773">
            <v>45965</v>
          </cell>
          <cell r="U1773">
            <v>45</v>
          </cell>
        </row>
        <row r="1774">
          <cell r="T1774">
            <v>45966</v>
          </cell>
          <cell r="U1774">
            <v>45</v>
          </cell>
        </row>
        <row r="1775">
          <cell r="T1775">
            <v>45967</v>
          </cell>
          <cell r="U1775">
            <v>45</v>
          </cell>
        </row>
        <row r="1776">
          <cell r="T1776">
            <v>45968</v>
          </cell>
          <cell r="U1776">
            <v>45</v>
          </cell>
        </row>
        <row r="1777">
          <cell r="T1777">
            <v>45969</v>
          </cell>
          <cell r="U1777">
            <v>45</v>
          </cell>
        </row>
        <row r="1778">
          <cell r="T1778">
            <v>45970</v>
          </cell>
          <cell r="U1778">
            <v>46</v>
          </cell>
        </row>
        <row r="1779">
          <cell r="T1779">
            <v>45971</v>
          </cell>
          <cell r="U1779">
            <v>46</v>
          </cell>
        </row>
        <row r="1780">
          <cell r="T1780">
            <v>45972</v>
          </cell>
          <cell r="U1780">
            <v>46</v>
          </cell>
        </row>
        <row r="1781">
          <cell r="T1781">
            <v>45973</v>
          </cell>
          <cell r="U1781">
            <v>46</v>
          </cell>
        </row>
        <row r="1782">
          <cell r="T1782">
            <v>45974</v>
          </cell>
          <cell r="U1782">
            <v>46</v>
          </cell>
        </row>
        <row r="1783">
          <cell r="T1783">
            <v>45975</v>
          </cell>
          <cell r="U1783">
            <v>46</v>
          </cell>
        </row>
        <row r="1784">
          <cell r="T1784">
            <v>45976</v>
          </cell>
          <cell r="U1784">
            <v>46</v>
          </cell>
        </row>
        <row r="1785">
          <cell r="T1785">
            <v>45977</v>
          </cell>
          <cell r="U1785">
            <v>47</v>
          </cell>
        </row>
        <row r="1786">
          <cell r="T1786">
            <v>45978</v>
          </cell>
          <cell r="U1786">
            <v>47</v>
          </cell>
        </row>
        <row r="1787">
          <cell r="T1787">
            <v>45979</v>
          </cell>
          <cell r="U1787">
            <v>47</v>
          </cell>
        </row>
        <row r="1788">
          <cell r="T1788">
            <v>45980</v>
          </cell>
          <cell r="U1788">
            <v>47</v>
          </cell>
        </row>
        <row r="1789">
          <cell r="T1789">
            <v>45981</v>
          </cell>
          <cell r="U1789">
            <v>47</v>
          </cell>
        </row>
        <row r="1790">
          <cell r="T1790">
            <v>45982</v>
          </cell>
          <cell r="U1790">
            <v>47</v>
          </cell>
        </row>
        <row r="1791">
          <cell r="T1791">
            <v>45983</v>
          </cell>
          <cell r="U1791">
            <v>47</v>
          </cell>
        </row>
        <row r="1792">
          <cell r="T1792">
            <v>45984</v>
          </cell>
          <cell r="U1792">
            <v>48</v>
          </cell>
        </row>
        <row r="1793">
          <cell r="T1793">
            <v>45985</v>
          </cell>
          <cell r="U1793">
            <v>48</v>
          </cell>
        </row>
        <row r="1794">
          <cell r="T1794">
            <v>45986</v>
          </cell>
          <cell r="U1794">
            <v>48</v>
          </cell>
        </row>
        <row r="1795">
          <cell r="T1795">
            <v>45987</v>
          </cell>
          <cell r="U1795">
            <v>48</v>
          </cell>
        </row>
        <row r="1796">
          <cell r="T1796">
            <v>45988</v>
          </cell>
          <cell r="U1796">
            <v>48</v>
          </cell>
        </row>
        <row r="1797">
          <cell r="T1797">
            <v>45989</v>
          </cell>
          <cell r="U1797">
            <v>48</v>
          </cell>
        </row>
        <row r="1798">
          <cell r="T1798">
            <v>45990</v>
          </cell>
          <cell r="U1798">
            <v>48</v>
          </cell>
        </row>
        <row r="1799">
          <cell r="T1799">
            <v>45991</v>
          </cell>
          <cell r="U1799">
            <v>49</v>
          </cell>
        </row>
        <row r="1800">
          <cell r="T1800">
            <v>45992</v>
          </cell>
          <cell r="U1800">
            <v>49</v>
          </cell>
        </row>
        <row r="1801">
          <cell r="T1801">
            <v>45993</v>
          </cell>
          <cell r="U1801">
            <v>49</v>
          </cell>
        </row>
        <row r="1802">
          <cell r="T1802">
            <v>45994</v>
          </cell>
          <cell r="U1802">
            <v>49</v>
          </cell>
        </row>
        <row r="1803">
          <cell r="T1803">
            <v>45995</v>
          </cell>
          <cell r="U1803">
            <v>49</v>
          </cell>
        </row>
        <row r="1804">
          <cell r="T1804">
            <v>45996</v>
          </cell>
          <cell r="U1804">
            <v>49</v>
          </cell>
        </row>
        <row r="1805">
          <cell r="T1805">
            <v>45997</v>
          </cell>
          <cell r="U1805">
            <v>49</v>
          </cell>
        </row>
        <row r="1806">
          <cell r="T1806">
            <v>45998</v>
          </cell>
          <cell r="U1806">
            <v>50</v>
          </cell>
        </row>
        <row r="1807">
          <cell r="T1807">
            <v>45999</v>
          </cell>
          <cell r="U1807">
            <v>50</v>
          </cell>
        </row>
        <row r="1808">
          <cell r="T1808">
            <v>46000</v>
          </cell>
          <cell r="U1808">
            <v>50</v>
          </cell>
        </row>
        <row r="1809">
          <cell r="T1809">
            <v>46001</v>
          </cell>
          <cell r="U1809">
            <v>50</v>
          </cell>
        </row>
        <row r="1810">
          <cell r="T1810">
            <v>46002</v>
          </cell>
          <cell r="U1810">
            <v>50</v>
          </cell>
        </row>
        <row r="1811">
          <cell r="T1811">
            <v>46003</v>
          </cell>
          <cell r="U1811">
            <v>50</v>
          </cell>
        </row>
        <row r="1812">
          <cell r="T1812">
            <v>46004</v>
          </cell>
          <cell r="U1812">
            <v>50</v>
          </cell>
        </row>
        <row r="1813">
          <cell r="T1813">
            <v>46005</v>
          </cell>
          <cell r="U1813">
            <v>51</v>
          </cell>
        </row>
        <row r="1814">
          <cell r="T1814">
            <v>46006</v>
          </cell>
          <cell r="U1814">
            <v>51</v>
          </cell>
        </row>
        <row r="1815">
          <cell r="T1815">
            <v>46007</v>
          </cell>
          <cell r="U1815">
            <v>51</v>
          </cell>
        </row>
        <row r="1816">
          <cell r="T1816">
            <v>46008</v>
          </cell>
          <cell r="U1816">
            <v>51</v>
          </cell>
        </row>
        <row r="1817">
          <cell r="T1817">
            <v>46009</v>
          </cell>
          <cell r="U1817">
            <v>51</v>
          </cell>
        </row>
        <row r="1818">
          <cell r="T1818">
            <v>46010</v>
          </cell>
          <cell r="U1818">
            <v>51</v>
          </cell>
        </row>
        <row r="1819">
          <cell r="T1819">
            <v>46011</v>
          </cell>
          <cell r="U1819">
            <v>51</v>
          </cell>
        </row>
        <row r="1820">
          <cell r="T1820">
            <v>46012</v>
          </cell>
          <cell r="U1820">
            <v>52</v>
          </cell>
        </row>
        <row r="1821">
          <cell r="T1821">
            <v>46013</v>
          </cell>
          <cell r="U1821">
            <v>52</v>
          </cell>
        </row>
        <row r="1822">
          <cell r="T1822">
            <v>46014</v>
          </cell>
          <cell r="U1822">
            <v>52</v>
          </cell>
        </row>
        <row r="1823">
          <cell r="T1823">
            <v>46015</v>
          </cell>
          <cell r="U1823">
            <v>52</v>
          </cell>
        </row>
        <row r="1824">
          <cell r="T1824">
            <v>46016</v>
          </cell>
          <cell r="U1824">
            <v>52</v>
          </cell>
        </row>
        <row r="1825">
          <cell r="T1825">
            <v>46017</v>
          </cell>
          <cell r="U1825">
            <v>52</v>
          </cell>
        </row>
        <row r="1826">
          <cell r="T1826">
            <v>46018</v>
          </cell>
          <cell r="U1826">
            <v>52</v>
          </cell>
        </row>
        <row r="1827">
          <cell r="T1827">
            <v>46019</v>
          </cell>
          <cell r="U1827">
            <v>53</v>
          </cell>
        </row>
        <row r="1828">
          <cell r="T1828">
            <v>46020</v>
          </cell>
          <cell r="U1828">
            <v>53</v>
          </cell>
        </row>
        <row r="1829">
          <cell r="T1829">
            <v>46021</v>
          </cell>
          <cell r="U1829">
            <v>53</v>
          </cell>
        </row>
        <row r="1830">
          <cell r="T1830">
            <v>46022</v>
          </cell>
          <cell r="U1830">
            <v>53</v>
          </cell>
        </row>
      </sheetData>
      <sheetData sheetId="11"/>
      <sheetData sheetId="12"/>
      <sheetData sheetId="13"/>
      <sheetData sheetId="14"/>
      <sheetData sheetId="1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EBF3F-22CD-46B3-B9F7-1C90A2E57458}" name="Table53" displayName="Table53" ref="B8:Q18" totalsRowShown="0" headerRowDxfId="20" dataDxfId="18" headerRowBorderDxfId="19" tableBorderDxfId="17" totalsRowBorderDxfId="16">
  <autoFilter ref="B8:Q18" xr:uid="{00000000-0009-0000-0100-000005000000}">
    <filterColumn colId="1">
      <customFilters>
        <customFilter operator="notEqual" val=" "/>
      </customFilters>
    </filterColumn>
    <filterColumn colId="2">
      <filters>
        <filter val="BELINGA"/>
      </filters>
    </filterColumn>
  </autoFilter>
  <sortState xmlns:xlrd2="http://schemas.microsoft.com/office/spreadsheetml/2017/richdata2" ref="B9:Q18">
    <sortCondition ref="B8:B18"/>
  </sortState>
  <tableColumns count="16">
    <tableColumn id="1" xr3:uid="{5869BE22-E4F5-45B6-AE64-5C051AB26FB7}" name="ASSET #" dataDxfId="15"/>
    <tableColumn id="2" xr3:uid="{6BC1E58E-4E03-45EE-A08C-17AFE0B07998}" name="Description" dataDxfId="14">
      <calculatedColumnFormula>_xlfn.XLOOKUP(Table53[[#This Row],[ASSET '#]],'[2]DCC-Project Penjom'!#REF!,'[2]DCC-Project Penjom'!#REF!)</calculatedColumnFormula>
    </tableColumn>
    <tableColumn id="15" xr3:uid="{9F760678-E224-44E2-BC04-D502C3011CAC}" name="Site" dataDxfId="13">
      <calculatedColumnFormula>_xlfn.XLOOKUP(Table53[[#This Row],[ASSET '#]],'[2]DCC-Project Penjom'!#REF!,'[2]DCC-Project Penjom'!#REF!)</calculatedColumnFormula>
    </tableColumn>
    <tableColumn id="3" xr3:uid="{5E82E987-5A2C-44D0-95CA-0AD5BA053329}" name="Type" dataDxfId="12"/>
    <tableColumn id="4" xr3:uid="{901FDB37-62A5-44CC-A58E-62A3C39E401E}" name="TDT" dataDxfId="11">
      <calculatedColumnFormula>IF($O$4="Day",SUMIFS([3]!DailyEntry[BD],[3]!DailyEntry[RIG '#],Table53[[#This Row],[ASSET '#]],[3]!DailyEntry[Day],[3]Availabilities!#REF!),IF([3]Availabilities!$O$4="Week",SUMIFS([3]!DailyEntry[BD],[3]!DailyEntry[RIG '#],Table53[[#This Row],[ASSET '#]],[3]!DailyEntry[Week],VLOOKUP([3]Availabilities!#REF!,#REF!,2,FALSE)),IF([3]Availabilities!$O$4="Month",SUMIFS([3]!DailyEntry[BD],[3]!DailyEntry[RIG '#],Table53[[#This Row],[ASSET '#]],[3]!DailyEntry[Month],[3]Availabilities!$J$5),"0")))</calculatedColumnFormula>
    </tableColumn>
    <tableColumn id="6" xr3:uid="{AE0F9891-9C11-42A2-9084-23D562B04149}" name="SR" dataDxfId="10">
      <calculatedColumnFormula>IF($O$4="Day",SUMIFS([3]!DailyEntry[SR],[3]!DailyEntry[RIG '#],Table53[[#This Row],[ASSET '#]],[3]!DailyEntry[Day],[3]Availabilities!#REF!),IF([3]Availabilities!$O$4="Week",SUMIFS([3]!DailyEntry[SR],[3]!DailyEntry[RIG '#],Table53[[#This Row],[ASSET '#]],[3]!DailyEntry[Week],VLOOKUP([3]Availabilities!#REF!,#REF!,2,FALSE)),IF([3]Availabilities!$O$4="Month",SUMIFS([3]!DailyEntry[SR],[3]!DailyEntry[RIG '#],Table53[[#This Row],[ASSET '#]],[3]!DailyEntry[Month],[3]Availabilities!$J$5),"0")))</calculatedColumnFormula>
    </tableColumn>
    <tableColumn id="5" xr3:uid="{1144D379-8173-4F5E-B880-82F37EB7663E}" name="WP" dataDxfId="9">
      <calculatedColumnFormula>IF($O$4="Day",SUMIFS([3]!DailyEntry[WP],[3]!DailyEntry[RIG '#],Table53[[#This Row],[ASSET '#]],[3]!DailyEntry[Day],[3]Availabilities!#REF!),IF([3]Availabilities!$O$4="Week",SUMIFS([3]!DailyEntry[WP],[3]!DailyEntry[RIG '#],Table53[[#This Row],[ASSET '#]],[3]!DailyEntry[Week],VLOOKUP([3]Availabilities!#REF!,#REF!,2,FALSE)),IF([3]Availabilities!$O$4="Month",SUMIFS([3]!DailyEntry[WP],[3]!DailyEntry[RIG '#],Table53[[#This Row],[ASSET '#]],[3]!DailyEntry[Month],[3]Availabilities!$J$5),"0")))</calculatedColumnFormula>
    </tableColumn>
    <tableColumn id="7" xr3:uid="{886B9B96-C2F5-4880-A879-F570CEA6FEF0}" name="OD" dataDxfId="8">
      <calculatedColumnFormula>IF($O$4="Day",SUMIFS([3]!DailyEntry[OD],[3]!DailyEntry[RIG '#],Table53[[#This Row],[ASSET '#]],[3]!DailyEntry[Day],[3]Availabilities!#REF!),IF([3]Availabilities!$O$4="Week",SUMIFS([3]!DailyEntry[OD],[3]!DailyEntry[RIG '#],Table53[[#This Row],[ASSET '#]],[3]!DailyEntry[Week],VLOOKUP([3]Availabilities!#REF!,#REF!,2,FALSE)),IF([3]Availabilities!$O$4="Month",SUMIFS([3]!DailyEntry[OD],[3]!DailyEntry[RIG '#],Table53[[#This Row],[ASSET '#]],[3]!DailyEntry[Month],[3]Availabilities!$J$5),"0")))</calculatedColumnFormula>
    </tableColumn>
    <tableColumn id="8" xr3:uid="{8B286E75-27E6-4074-8E62-4A79EE5373EE}" name="No. PL/Down" dataDxfId="7">
      <calculatedColumnFormula>IF($O$4="Day",SUMIFS([3]!DailyEntry['# Of PL Jobs],[3]!DailyEntry[RIG '#],Table53[[#This Row],[ASSET '#]],[3]!DailyEntry[Day],[3]Availabilities!#REF!),IF([3]Availabilities!$O$4="Week",SUMIFS([3]!DailyEntry['# Of PL Jobs],[3]!DailyEntry[RIG '#],Table53[[#This Row],[ASSET '#]],[3]!DailyEntry[Week],VLOOKUP([3]Availabilities!#REF!,#REF!,2,FALSE)),IF([3]Availabilities!$O$4="Month",SUMIFS([3]!DailyEntry['# Of PL Jobs],[3]!DailyEntry[RIG '#],Table53[[#This Row],[ASSET '#]],[3]!DailyEntry[Month],[3]Availabilities!$J$5),"0")))</calculatedColumnFormula>
    </tableColumn>
    <tableColumn id="9" xr3:uid="{C4530C84-4D32-4226-9DDD-99E279CCDDE6}" name="No. UPL / Down" dataDxfId="6">
      <calculatedColumnFormula>IF($O$4="Day",SUMIFS([3]!DailyEntry['# Of UP Stoppage],[3]!DailyEntry[RIG '#],Table53[[#This Row],[ASSET '#]],[3]!DailyEntry[Day],[3]Availabilities!#REF!),IF([3]Availabilities!$O$4="Week",SUMIFS([3]!DailyEntry['# Of UP Stoppage],[3]!DailyEntry[RIG '#],Table53[[#This Row],[ASSET '#]],[3]!DailyEntry[Week],VLOOKUP([3]Availabilities!#REF!,#REF!,2,FALSE)),IF([3]Availabilities!$O$4="Month",SUMIFS([3]!DailyEntry['# Of UP Stoppage],[3]!DailyEntry[RIG '#],Table53[[#This Row],[ASSET '#]],[3]!DailyEntry[Month],[3]Availabilities!$J$5),"0")))</calculatedColumnFormula>
    </tableColumn>
    <tableColumn id="10" xr3:uid="{1DEAA95A-10D4-415F-B69D-D40106E59D4C}" name="PL Down Hrs" dataDxfId="5">
      <calculatedColumnFormula>Table53[[#This Row],[SR]]</calculatedColumnFormula>
    </tableColumn>
    <tableColumn id="11" xr3:uid="{74EBA00A-AD25-4FAB-9D8D-198964B8B559}" name="UP Down Hrs" dataDxfId="4">
      <calculatedColumnFormula>SUM(F9:F9,H9)</calculatedColumnFormula>
    </tableColumn>
    <tableColumn id="12" xr3:uid="{898492AD-B2F1-4AD0-A16D-5D13901CB321}" name="Mech.Avail%" dataDxfId="3">
      <calculatedColumnFormula>IFERROR((O9-(SUM(L9:M9)))/O9,"-")</calculatedColumnFormula>
    </tableColumn>
    <tableColumn id="13" xr3:uid="{3B83ECF9-4452-467C-96CA-5832DAD8DDD9}" name="Work hrs" dataDxfId="2">
      <calculatedColumnFormula>IF($P$4="Day",SUMIFS([4]!DailyEntry[Work hrs],[4]!DailyEntry[RIG '#],[4]!Table5[[#This Row],[ASSET '#]],[4]!DailyEntry[Day],[4]Availabilities!$G$5),IF([4]Availabilities!$P$4="Week",SUMIFS([4]!DailyEntry[Work hrs],[4]!DailyEntry[RIG '#],[4]!Table5[[#This Row],[ASSET '#]],[4]!DailyEntry[Week],VLOOKUP([4]Availabilities!$G$5,[4]Reference!$T:$U,2,FALSE)),IF([4]Availabilities!$P$4="Month",SUMIFS([4]!DailyEntry[Work hrs],[4]!DailyEntry[RIG '#],[4]!Table5[[#This Row],[ASSET '#]],[4]!DailyEntry[Month],[4]Availabilities!$M$5),"0")))</calculatedColumnFormula>
    </tableColumn>
    <tableColumn id="16" xr3:uid="{773B4942-D148-4D7C-84B7-97AF9E9ABE75}" name="M.T.B.F" dataDxfId="1">
      <calculatedColumnFormula>IFERROR(Table53[[#This Row],[Work hrs]]-Table53[[#This Row],[TDT]]/Table53[[#This Row],[No. UPL / Down]],Table53[[#This Row],[Work hrs]]-Table53[[#This Row],[TDT]])</calculatedColumnFormula>
    </tableColumn>
    <tableColumn id="14" xr3:uid="{9184B465-F3C2-41DD-B929-39A9292352FF}" name="M.T.T.R" dataDxfId="0">
      <calculatedColumnFormula>IFERROR(F9/K9,"-")</calculatedColumnFormula>
    </tableColumn>
  </tableColumns>
  <tableStyleInfo name="Shady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EDF8-C28D-4E7E-A089-853408A2C494}">
  <dimension ref="B1:Z2667"/>
  <sheetViews>
    <sheetView showGridLines="0" tabSelected="1" view="pageBreakPreview" zoomScale="64" zoomScaleNormal="70" zoomScaleSheetLayoutView="10" workbookViewId="0">
      <pane ySplit="2" topLeftCell="A3" activePane="bottomLeft" state="frozen"/>
      <selection activeCell="J1767" sqref="J1767"/>
      <selection pane="bottomLeft" activeCell="M9" sqref="M9"/>
    </sheetView>
  </sheetViews>
  <sheetFormatPr defaultColWidth="9.44140625" defaultRowHeight="14.4" x14ac:dyDescent="0.3"/>
  <cols>
    <col min="1" max="1" width="1.44140625" style="126" customWidth="1"/>
    <col min="2" max="2" width="11.44140625" style="126" customWidth="1"/>
    <col min="3" max="3" width="44.5546875" style="126" bestFit="1" customWidth="1"/>
    <col min="4" max="4" width="16.44140625" style="126" customWidth="1"/>
    <col min="5" max="5" width="15.44140625" style="126" customWidth="1"/>
    <col min="6" max="6" width="23.21875" style="126" customWidth="1"/>
    <col min="7" max="10" width="15.77734375" style="126" customWidth="1"/>
    <col min="11" max="11" width="24.5546875" style="126" bestFit="1" customWidth="1"/>
    <col min="12" max="12" width="22" style="126" bestFit="1" customWidth="1"/>
    <col min="13" max="13" width="22.109375" style="126" customWidth="1"/>
    <col min="14" max="14" width="44.77734375" style="126" bestFit="1" customWidth="1"/>
    <col min="15" max="17" width="15.77734375" style="126" customWidth="1"/>
    <col min="18" max="18" width="12.77734375" style="126" customWidth="1"/>
    <col min="19" max="19" width="16.88671875" style="126" customWidth="1"/>
    <col min="20" max="20" width="46.88671875" style="126" customWidth="1"/>
    <col min="21" max="21" width="15.5546875" style="126" customWidth="1"/>
    <col min="22" max="22" width="16.44140625" style="126" customWidth="1"/>
    <col min="23" max="28" width="9.44140625" style="126" customWidth="1"/>
    <col min="29" max="29" width="9.5546875" style="126" customWidth="1"/>
    <col min="30" max="31" width="9.44140625" style="126" customWidth="1"/>
    <col min="32" max="32" width="9.5546875" style="126" customWidth="1"/>
    <col min="33" max="33" width="10.5546875" style="126" customWidth="1"/>
    <col min="34" max="16384" width="9.44140625" style="126"/>
  </cols>
  <sheetData>
    <row r="1" spans="2:22" ht="9.75" customHeight="1" x14ac:dyDescent="0.3"/>
    <row r="2" spans="2:22" ht="36.75" customHeight="1" x14ac:dyDescent="0.3">
      <c r="B2" s="223"/>
      <c r="C2" s="224"/>
      <c r="D2" s="225" t="s">
        <v>271</v>
      </c>
      <c r="E2" s="226"/>
      <c r="F2" s="226"/>
      <c r="G2" s="226"/>
      <c r="H2" s="226"/>
      <c r="I2" s="226"/>
      <c r="J2" s="226"/>
      <c r="K2" s="226"/>
      <c r="L2" s="226"/>
      <c r="M2" s="227"/>
      <c r="N2" s="225"/>
      <c r="O2" s="226"/>
      <c r="P2" s="226"/>
      <c r="Q2" s="227"/>
    </row>
    <row r="3" spans="2:22" ht="7.5" customHeight="1" x14ac:dyDescent="0.3"/>
    <row r="4" spans="2:22" ht="22.35" customHeight="1" x14ac:dyDescent="0.3">
      <c r="B4" s="204"/>
      <c r="C4" s="203"/>
      <c r="D4" s="202"/>
      <c r="E4" s="201"/>
      <c r="F4" s="228"/>
      <c r="G4" s="228"/>
      <c r="H4" s="228"/>
      <c r="I4" s="228"/>
      <c r="J4" s="228"/>
      <c r="K4" s="228"/>
      <c r="L4" s="228"/>
      <c r="M4" s="229" t="s">
        <v>270</v>
      </c>
      <c r="N4" s="229"/>
      <c r="O4" s="230" t="s">
        <v>27</v>
      </c>
      <c r="P4" s="230"/>
      <c r="Q4" s="231"/>
      <c r="S4" s="172" t="s">
        <v>253</v>
      </c>
      <c r="T4" s="48" t="s">
        <v>269</v>
      </c>
      <c r="U4" s="200"/>
      <c r="V4" s="200"/>
    </row>
    <row r="5" spans="2:22" ht="22.35" customHeight="1" x14ac:dyDescent="0.3">
      <c r="B5" s="199"/>
      <c r="C5" s="198"/>
      <c r="D5" s="197"/>
      <c r="E5" s="196"/>
      <c r="F5" s="195" t="s">
        <v>268</v>
      </c>
      <c r="G5" s="211">
        <v>46053</v>
      </c>
      <c r="H5" s="211"/>
      <c r="I5" s="193" t="s">
        <v>267</v>
      </c>
      <c r="J5" s="194" t="s">
        <v>272</v>
      </c>
      <c r="K5" s="193" t="s">
        <v>266</v>
      </c>
      <c r="L5" s="192">
        <v>2026</v>
      </c>
      <c r="M5" s="191"/>
      <c r="N5"/>
      <c r="O5" s="190"/>
      <c r="S5" s="189" t="s">
        <v>252</v>
      </c>
      <c r="T5" s="48" t="s">
        <v>265</v>
      </c>
    </row>
    <row r="6" spans="2:22" ht="12.6" customHeight="1" x14ac:dyDescent="0.3">
      <c r="B6" s="188"/>
      <c r="C6" s="187"/>
      <c r="D6" s="187"/>
      <c r="E6" s="186"/>
      <c r="F6" s="185"/>
      <c r="G6" s="184"/>
      <c r="H6" s="184"/>
      <c r="I6" s="182" t="s">
        <v>264</v>
      </c>
      <c r="J6" s="212" t="s">
        <v>263</v>
      </c>
      <c r="K6" s="212"/>
      <c r="L6" s="182" t="s">
        <v>262</v>
      </c>
      <c r="M6" s="183" t="s">
        <v>261</v>
      </c>
      <c r="N6" s="182" t="s">
        <v>260</v>
      </c>
      <c r="O6" s="213">
        <f>COUNTA(C9:C15)</f>
        <v>7</v>
      </c>
      <c r="P6" s="214"/>
      <c r="Q6" s="215"/>
      <c r="S6" s="172" t="s">
        <v>251</v>
      </c>
      <c r="T6" s="48" t="s">
        <v>259</v>
      </c>
    </row>
    <row r="7" spans="2:22" ht="12.6" customHeight="1" x14ac:dyDescent="0.3">
      <c r="B7" s="178"/>
      <c r="C7" s="178"/>
      <c r="D7" s="178"/>
      <c r="E7" s="181"/>
      <c r="F7" s="178"/>
      <c r="G7" s="180"/>
      <c r="H7" s="180"/>
      <c r="I7" s="180"/>
      <c r="J7" s="179"/>
      <c r="K7" s="179"/>
      <c r="L7" s="179"/>
      <c r="M7" s="179"/>
      <c r="N7" s="179"/>
      <c r="O7" s="179"/>
      <c r="P7" s="179"/>
      <c r="Q7" s="178"/>
      <c r="S7" s="172" t="s">
        <v>250</v>
      </c>
      <c r="T7" s="48" t="s">
        <v>258</v>
      </c>
    </row>
    <row r="8" spans="2:22" ht="20.399999999999999" customHeight="1" x14ac:dyDescent="0.3">
      <c r="B8" s="177" t="s">
        <v>257</v>
      </c>
      <c r="C8" s="176" t="s">
        <v>256</v>
      </c>
      <c r="D8" s="176" t="s">
        <v>255</v>
      </c>
      <c r="E8" s="176" t="s">
        <v>254</v>
      </c>
      <c r="F8" s="176" t="s">
        <v>253</v>
      </c>
      <c r="G8" s="176" t="s">
        <v>252</v>
      </c>
      <c r="H8" s="176" t="s">
        <v>251</v>
      </c>
      <c r="I8" s="176" t="s">
        <v>250</v>
      </c>
      <c r="J8" s="175" t="s">
        <v>249</v>
      </c>
      <c r="K8" s="175" t="s">
        <v>248</v>
      </c>
      <c r="L8" s="175" t="s">
        <v>247</v>
      </c>
      <c r="M8" s="175" t="s">
        <v>246</v>
      </c>
      <c r="N8" s="175" t="s">
        <v>245</v>
      </c>
      <c r="O8" s="175" t="s">
        <v>223</v>
      </c>
      <c r="P8" s="174" t="s">
        <v>244</v>
      </c>
      <c r="Q8" s="174" t="s">
        <v>243</v>
      </c>
      <c r="S8" s="171" t="s">
        <v>242</v>
      </c>
      <c r="T8" s="133" t="s">
        <v>241</v>
      </c>
    </row>
    <row r="9" spans="2:22" ht="19.95" customHeight="1" x14ac:dyDescent="0.3">
      <c r="B9" s="173" t="s">
        <v>240</v>
      </c>
      <c r="C9" s="169" t="s">
        <v>236</v>
      </c>
      <c r="D9" s="169" t="s">
        <v>48</v>
      </c>
      <c r="E9" s="169" t="s">
        <v>207</v>
      </c>
      <c r="F9" s="168">
        <v>0</v>
      </c>
      <c r="G9" s="167">
        <v>0</v>
      </c>
      <c r="H9" s="167">
        <v>0</v>
      </c>
      <c r="I9" s="166">
        <v>0</v>
      </c>
      <c r="J9" s="164">
        <v>0</v>
      </c>
      <c r="K9" s="164">
        <v>0</v>
      </c>
      <c r="L9" s="164">
        <v>0</v>
      </c>
      <c r="M9" s="164">
        <v>0</v>
      </c>
      <c r="N9" s="165">
        <f t="shared" ref="N9:N18" si="0">IFERROR((O9-(SUM(L9:M9)))/O9,"-")</f>
        <v>1</v>
      </c>
      <c r="O9" s="164">
        <v>43800</v>
      </c>
      <c r="P9" s="163">
        <f>IFERROR(Table53[[#This Row],[Work hrs]]-Table53[[#This Row],[TDT]]/Table53[[#This Row],[No. UPL / Down]],Table53[[#This Row],[Work hrs]]-Table53[[#This Row],[TDT]])</f>
        <v>43800</v>
      </c>
      <c r="Q9" s="163" t="str">
        <f t="shared" ref="Q9:Q18" si="1">IFERROR(F9/K9,"-")</f>
        <v>-</v>
      </c>
      <c r="S9" s="171" t="s">
        <v>239</v>
      </c>
      <c r="T9" s="48" t="s">
        <v>238</v>
      </c>
    </row>
    <row r="10" spans="2:22" ht="19.95" customHeight="1" x14ac:dyDescent="0.3">
      <c r="B10" s="173" t="s">
        <v>237</v>
      </c>
      <c r="C10" s="169" t="s">
        <v>236</v>
      </c>
      <c r="D10" s="169" t="s">
        <v>228</v>
      </c>
      <c r="E10" s="169" t="s">
        <v>207</v>
      </c>
      <c r="F10" s="168">
        <v>4210</v>
      </c>
      <c r="G10" s="167">
        <v>2260</v>
      </c>
      <c r="H10" s="167">
        <v>0</v>
      </c>
      <c r="I10" s="166">
        <v>4560</v>
      </c>
      <c r="J10" s="164">
        <f>Table53[[#This Row],[PL Down Hrs]]</f>
        <v>2260</v>
      </c>
      <c r="K10" s="164">
        <f>Table53[[#This Row],[UP Down Hrs]]</f>
        <v>1950</v>
      </c>
      <c r="L10" s="164">
        <f>Table53[[#This Row],[SR]]</f>
        <v>2260</v>
      </c>
      <c r="M10" s="164">
        <f>Table53[[#This Row],[TDT]]-Table53[[#This Row],[PL Down Hrs]]</f>
        <v>1950</v>
      </c>
      <c r="N10" s="165">
        <f t="shared" si="0"/>
        <v>0.90388127853881284</v>
      </c>
      <c r="O10" s="164">
        <v>43800</v>
      </c>
      <c r="P10" s="163">
        <f>IFERROR(Table53[[#This Row],[Work hrs]]-Table53[[#This Row],[TDT]]/Table53[[#This Row],[No. UPL / Down]],Table53[[#This Row],[Work hrs]]-Table53[[#This Row],[TDT]])</f>
        <v>43797.841025641028</v>
      </c>
      <c r="Q10" s="163">
        <f t="shared" si="1"/>
        <v>2.1589743589743589</v>
      </c>
      <c r="S10" s="172" t="s">
        <v>235</v>
      </c>
      <c r="T10" s="48" t="s">
        <v>234</v>
      </c>
    </row>
    <row r="11" spans="2:22" ht="19.95" customHeight="1" x14ac:dyDescent="0.3">
      <c r="B11" s="170" t="s">
        <v>233</v>
      </c>
      <c r="C11" s="169" t="s">
        <v>232</v>
      </c>
      <c r="D11" s="169" t="s">
        <v>224</v>
      </c>
      <c r="E11" s="169" t="s">
        <v>208</v>
      </c>
      <c r="F11" s="168">
        <v>450</v>
      </c>
      <c r="G11" s="167">
        <v>0</v>
      </c>
      <c r="H11" s="167">
        <v>0</v>
      </c>
      <c r="I11" s="166">
        <v>5685</v>
      </c>
      <c r="J11" s="164">
        <v>0</v>
      </c>
      <c r="K11" s="164">
        <v>450</v>
      </c>
      <c r="L11" s="164">
        <v>0</v>
      </c>
      <c r="M11" s="164">
        <f>Table53[[#This Row],[TDT]]-Table53[[#This Row],[No. PL/Down]]</f>
        <v>450</v>
      </c>
      <c r="N11" s="165">
        <f t="shared" si="0"/>
        <v>0.98972602739726023</v>
      </c>
      <c r="O11" s="164">
        <v>43800</v>
      </c>
      <c r="P11" s="163">
        <f>IFERROR(Table53[[#This Row],[Work hrs]]-Table53[[#This Row],[TDT]]/Table53[[#This Row],[No. UPL / Down]],Table53[[#This Row],[Work hrs]]-Table53[[#This Row],[TDT]])</f>
        <v>43799</v>
      </c>
      <c r="Q11" s="163">
        <f t="shared" si="1"/>
        <v>1</v>
      </c>
      <c r="S11" s="171" t="s">
        <v>231</v>
      </c>
      <c r="T11" s="48" t="s">
        <v>230</v>
      </c>
    </row>
    <row r="12" spans="2:22" ht="19.95" customHeight="1" x14ac:dyDescent="0.3">
      <c r="B12" s="170" t="s">
        <v>229</v>
      </c>
      <c r="C12" s="169" t="s">
        <v>220</v>
      </c>
      <c r="D12" s="169" t="s">
        <v>228</v>
      </c>
      <c r="E12" s="169" t="s">
        <v>207</v>
      </c>
      <c r="F12" s="168">
        <v>2975</v>
      </c>
      <c r="G12" s="167">
        <v>2880</v>
      </c>
      <c r="H12" s="167">
        <v>0</v>
      </c>
      <c r="I12" s="166">
        <v>7065</v>
      </c>
      <c r="J12" s="164">
        <v>0</v>
      </c>
      <c r="K12" s="164">
        <f>Table53[[#This Row],[TDT]]-Table53[[#This Row],[SR]]</f>
        <v>95</v>
      </c>
      <c r="L12" s="164">
        <f>Table53[[#This Row],[No. PL/Down]]</f>
        <v>0</v>
      </c>
      <c r="M12" s="164">
        <f>Table53[[#This Row],[No. UPL / Down]]</f>
        <v>95</v>
      </c>
      <c r="N12" s="165">
        <f t="shared" si="0"/>
        <v>0.99783105022831053</v>
      </c>
      <c r="O12" s="164">
        <v>43800</v>
      </c>
      <c r="P12" s="163">
        <f>IFERROR(Table53[[#This Row],[Work hrs]]-Table53[[#This Row],[TDT]]/Table53[[#This Row],[No. UPL / Down]],Table53[[#This Row],[Work hrs]]-Table53[[#This Row],[TDT]])</f>
        <v>43768.684210526313</v>
      </c>
      <c r="Q12" s="163">
        <f t="shared" si="1"/>
        <v>31.315789473684209</v>
      </c>
      <c r="S12" s="171" t="s">
        <v>227</v>
      </c>
      <c r="T12" s="48" t="s">
        <v>226</v>
      </c>
    </row>
    <row r="13" spans="2:22" ht="19.95" customHeight="1" x14ac:dyDescent="0.3">
      <c r="B13" s="170" t="s">
        <v>225</v>
      </c>
      <c r="C13" s="169" t="s">
        <v>220</v>
      </c>
      <c r="D13" s="169" t="s">
        <v>224</v>
      </c>
      <c r="E13" s="169" t="s">
        <v>207</v>
      </c>
      <c r="F13" s="168">
        <f>Table53[[#This Row],[No. PL/Down]]+Table53[[#This Row],[No. UPL / Down]]+Table53[[#This Row],[WP]]</f>
        <v>43800</v>
      </c>
      <c r="G13" s="167">
        <v>0</v>
      </c>
      <c r="H13" s="167">
        <v>43800</v>
      </c>
      <c r="I13" s="166">
        <v>0</v>
      </c>
      <c r="J13" s="164">
        <v>0</v>
      </c>
      <c r="K13" s="164">
        <v>0</v>
      </c>
      <c r="L13" s="164">
        <v>0</v>
      </c>
      <c r="M13" s="164">
        <f>Table53[[#This Row],[TDT]]-Table53[[#This Row],[PL Down Hrs]]</f>
        <v>43800</v>
      </c>
      <c r="N13" s="207">
        <f t="shared" si="0"/>
        <v>0</v>
      </c>
      <c r="O13" s="164">
        <v>43800</v>
      </c>
      <c r="P13" s="163">
        <f>IFERROR(Table53[[#This Row],[Work hrs]]-Table53[[#This Row],[TDT]]/Table53[[#This Row],[No. UPL / Down]],Table53[[#This Row],[Work hrs]]-Table53[[#This Row],[TDT]])</f>
        <v>0</v>
      </c>
      <c r="Q13" s="163" t="str">
        <f t="shared" si="1"/>
        <v>-</v>
      </c>
      <c r="S13" s="171" t="s">
        <v>223</v>
      </c>
      <c r="T13" s="48" t="s">
        <v>222</v>
      </c>
    </row>
    <row r="14" spans="2:22" ht="19.95" customHeight="1" x14ac:dyDescent="0.3">
      <c r="B14" s="170" t="s">
        <v>221</v>
      </c>
      <c r="C14" s="169" t="s">
        <v>220</v>
      </c>
      <c r="D14" s="169" t="s">
        <v>215</v>
      </c>
      <c r="E14" s="169" t="s">
        <v>207</v>
      </c>
      <c r="F14" s="168">
        <v>3325</v>
      </c>
      <c r="G14" s="167">
        <v>2160</v>
      </c>
      <c r="H14" s="167">
        <v>0</v>
      </c>
      <c r="I14" s="166">
        <v>9045</v>
      </c>
      <c r="J14" s="164">
        <f>Table53[[#This Row],[SR]]</f>
        <v>2160</v>
      </c>
      <c r="K14" s="164">
        <f>Table53[[#This Row],[TDT]]-Table53[[#This Row],[SR]]</f>
        <v>1165</v>
      </c>
      <c r="L14" s="164">
        <f>Table53[[#This Row],[No. PL/Down]]</f>
        <v>2160</v>
      </c>
      <c r="M14" s="164">
        <f>Table53[[#This Row],[TDT]]-Table53[[#This Row],[SR]]</f>
        <v>1165</v>
      </c>
      <c r="N14" s="165">
        <f t="shared" si="0"/>
        <v>0.92408675799086759</v>
      </c>
      <c r="O14" s="164">
        <v>43800</v>
      </c>
      <c r="P14" s="163">
        <f>IFERROR(Table53[[#This Row],[Work hrs]]-Table53[[#This Row],[TDT]]/Table53[[#This Row],[No. UPL / Down]],Table53[[#This Row],[Work hrs]]-Table53[[#This Row],[TDT]])</f>
        <v>43797.145922746779</v>
      </c>
      <c r="Q14" s="163">
        <f t="shared" si="1"/>
        <v>2.8540772532188843</v>
      </c>
      <c r="S14" s="171" t="s">
        <v>219</v>
      </c>
      <c r="T14" s="48" t="s">
        <v>218</v>
      </c>
    </row>
    <row r="15" spans="2:22" ht="19.95" customHeight="1" x14ac:dyDescent="0.3">
      <c r="B15" s="170" t="s">
        <v>217</v>
      </c>
      <c r="C15" s="169" t="s">
        <v>216</v>
      </c>
      <c r="D15" s="169" t="s">
        <v>215</v>
      </c>
      <c r="E15" s="169" t="s">
        <v>208</v>
      </c>
      <c r="F15" s="168">
        <v>18090</v>
      </c>
      <c r="G15" s="167">
        <v>1440</v>
      </c>
      <c r="H15" s="167">
        <v>0</v>
      </c>
      <c r="I15" s="166">
        <v>0</v>
      </c>
      <c r="J15" s="164">
        <f>Table53[[#This Row],[SR]]</f>
        <v>1440</v>
      </c>
      <c r="K15" s="164">
        <f>Table53[[#This Row],[TDT]]-Table53[[#This Row],[SR]]</f>
        <v>16650</v>
      </c>
      <c r="L15" s="164">
        <f>Table53[[#This Row],[No. PL/Down]]</f>
        <v>1440</v>
      </c>
      <c r="M15" s="164">
        <f>Table53[[#This Row],[No. UPL / Down]]</f>
        <v>16650</v>
      </c>
      <c r="N15" s="165">
        <f t="shared" si="0"/>
        <v>0.58698630136986296</v>
      </c>
      <c r="O15" s="164">
        <v>43800</v>
      </c>
      <c r="P15" s="163">
        <f>IFERROR(Table53[[#This Row],[Work hrs]]-Table53[[#This Row],[TDT]]/Table53[[#This Row],[No. UPL / Down]],Table53[[#This Row],[Work hrs]]-Table53[[#This Row],[TDT]])</f>
        <v>43798.913513513515</v>
      </c>
      <c r="Q15" s="163">
        <f t="shared" si="1"/>
        <v>1.0864864864864865</v>
      </c>
      <c r="S15" s="171" t="s">
        <v>214</v>
      </c>
      <c r="T15" s="48" t="s">
        <v>213</v>
      </c>
    </row>
    <row r="16" spans="2:22" ht="15.6" hidden="1" customHeight="1" x14ac:dyDescent="0.3">
      <c r="B16" s="170" t="s">
        <v>212</v>
      </c>
      <c r="C16" s="169" t="e">
        <f>_xlfn.XLOOKUP(Table53[[#This Row],[ASSET '#]],'[2]DCC-Project Penjom'!#REF!,'[2]DCC-Project Penjom'!#REF!)</f>
        <v>#REF!</v>
      </c>
      <c r="D16" s="169" t="e">
        <f>_xlfn.XLOOKUP(Table53[[#This Row],[ASSET '#]],'[2]DCC-Project Penjom'!#REF!,'[2]DCC-Project Penjom'!#REF!)</f>
        <v>#REF!</v>
      </c>
      <c r="E16" s="169" t="s">
        <v>206</v>
      </c>
      <c r="F16" s="168" t="e">
        <f>IF($O$4="Day",SUMIFS([3]!DailyEntry[BD],[3]!DailyEntry[RIG '#],Table53[[#This Row],[ASSET '#]],[3]!DailyEntry[Day],[3]Availabilities!#REF!),IF([3]Availabilities!$O$4="Week",SUMIFS([3]!DailyEntry[BD],[3]!DailyEntry[RIG '#],Table53[[#This Row],[ASSET '#]],[3]!DailyEntry[Week],VLOOKUP([3]Availabilities!#REF!,#REF!,2,FALSE)),IF([3]Availabilities!$O$4="Month",SUMIFS([3]!DailyEntry[BD],[3]!DailyEntry[RIG '#],Table53[[#This Row],[ASSET '#]],[3]!DailyEntry[Month],[3]Availabilities!$J$5),"0")))</f>
        <v>#REF!</v>
      </c>
      <c r="G16" s="167" t="e">
        <f>IF($O$4="Day",SUMIFS([3]!DailyEntry[SR],[3]!DailyEntry[RIG '#],Table53[[#This Row],[ASSET '#]],[3]!DailyEntry[Day],[3]Availabilities!#REF!),IF([3]Availabilities!$O$4="Week",SUMIFS([3]!DailyEntry[SR],[3]!DailyEntry[RIG '#],Table53[[#This Row],[ASSET '#]],[3]!DailyEntry[Week],VLOOKUP([3]Availabilities!#REF!,#REF!,2,FALSE)),IF([3]Availabilities!$O$4="Month",SUMIFS([3]!DailyEntry[SR],[3]!DailyEntry[RIG '#],Table53[[#This Row],[ASSET '#]],[3]!DailyEntry[Month],[3]Availabilities!$J$5),"0")))</f>
        <v>#REF!</v>
      </c>
      <c r="H16" s="167" t="e">
        <f>IF($O$4="Day",SUMIFS([3]!DailyEntry[WP],[3]!DailyEntry[RIG '#],Table53[[#This Row],[ASSET '#]],[3]!DailyEntry[Day],[3]Availabilities!#REF!),IF([3]Availabilities!$O$4="Week",SUMIFS([3]!DailyEntry[WP],[3]!DailyEntry[RIG '#],Table53[[#This Row],[ASSET '#]],[3]!DailyEntry[Week],VLOOKUP([3]Availabilities!#REF!,#REF!,2,FALSE)),IF([3]Availabilities!$O$4="Month",SUMIFS([3]!DailyEntry[WP],[3]!DailyEntry[RIG '#],Table53[[#This Row],[ASSET '#]],[3]!DailyEntry[Month],[3]Availabilities!$J$5),"0")))</f>
        <v>#REF!</v>
      </c>
      <c r="I16" s="166" t="e">
        <f>IF($O$4="Day",SUMIFS([3]!DailyEntry[OD],[3]!DailyEntry[RIG '#],Table53[[#This Row],[ASSET '#]],[3]!DailyEntry[Day],[3]Availabilities!#REF!),IF([3]Availabilities!$O$4="Week",SUMIFS([3]!DailyEntry[OD],[3]!DailyEntry[RIG '#],Table53[[#This Row],[ASSET '#]],[3]!DailyEntry[Week],VLOOKUP([3]Availabilities!#REF!,#REF!,2,FALSE)),IF([3]Availabilities!$O$4="Month",SUMIFS([3]!DailyEntry[OD],[3]!DailyEntry[RIG '#],Table53[[#This Row],[ASSET '#]],[3]!DailyEntry[Month],[3]Availabilities!$J$5),"0")))</f>
        <v>#REF!</v>
      </c>
      <c r="J16" s="164" t="e">
        <f>IF($O$4="Day",SUMIFS([3]!DailyEntry['# Of PL Jobs],[3]!DailyEntry[RIG '#],Table53[[#This Row],[ASSET '#]],[3]!DailyEntry[Day],[3]Availabilities!#REF!),IF([3]Availabilities!$O$4="Week",SUMIFS([3]!DailyEntry['# Of PL Jobs],[3]!DailyEntry[RIG '#],Table53[[#This Row],[ASSET '#]],[3]!DailyEntry[Week],VLOOKUP([3]Availabilities!#REF!,#REF!,2,FALSE)),IF([3]Availabilities!$O$4="Month",SUMIFS([3]!DailyEntry['# Of PL Jobs],[3]!DailyEntry[RIG '#],Table53[[#This Row],[ASSET '#]],[3]!DailyEntry[Month],[3]Availabilities!$J$5),"0")))</f>
        <v>#REF!</v>
      </c>
      <c r="K16" s="164" t="e">
        <f>IF($O$4="Day",SUMIFS([3]!DailyEntry['# Of UP Stoppage],[3]!DailyEntry[RIG '#],Table53[[#This Row],[ASSET '#]],[3]!DailyEntry[Day],[3]Availabilities!#REF!),IF([3]Availabilities!$O$4="Week",SUMIFS([3]!DailyEntry['# Of UP Stoppage],[3]!DailyEntry[RIG '#],Table53[[#This Row],[ASSET '#]],[3]!DailyEntry[Week],VLOOKUP([3]Availabilities!#REF!,#REF!,2,FALSE)),IF([3]Availabilities!$O$4="Month",SUMIFS([3]!DailyEntry['# Of UP Stoppage],[3]!DailyEntry[RIG '#],Table53[[#This Row],[ASSET '#]],[3]!DailyEntry[Month],[3]Availabilities!$J$5),"0")))</f>
        <v>#REF!</v>
      </c>
      <c r="L16" s="164" t="e">
        <f>Table53[[#This Row],[SR]]</f>
        <v>#REF!</v>
      </c>
      <c r="M16" s="164" t="e">
        <f>SUM(F16:F16,H16)</f>
        <v>#REF!</v>
      </c>
      <c r="N16" s="165" t="str">
        <f t="shared" si="0"/>
        <v>-</v>
      </c>
      <c r="O16" s="164" t="str">
        <f>IF($P$4="Day",SUMIFS([4]!DailyEntry[Work hrs],[4]!DailyEntry[RIG '#],[4]!Table5[[#This Row],[ASSET '#]],[4]!DailyEntry[Day],[4]Availabilities!$G$5),IF([4]Availabilities!$P$4="Week",SUMIFS([4]!DailyEntry[Work hrs],[4]!DailyEntry[RIG '#],[4]!Table5[[#This Row],[ASSET '#]],[4]!DailyEntry[Week],VLOOKUP([4]Availabilities!$G$5,[4]Reference!$T:$U,2,FALSE)),IF([4]Availabilities!$P$4="Month",SUMIFS([4]!DailyEntry[Work hrs],[4]!DailyEntry[RIG '#],[4]!Table5[[#This Row],[ASSET '#]],[4]!DailyEntry[Month],[4]Availabilities!$M$5),"0")))</f>
        <v>0</v>
      </c>
      <c r="P16" s="163" t="e">
        <f>IFERROR(Table53[[#This Row],[Work hrs]]-Table53[[#This Row],[TDT]]/Table53[[#This Row],[No. UPL / Down]],Table53[[#This Row],[Work hrs]]-Table53[[#This Row],[TDT]])</f>
        <v>#REF!</v>
      </c>
      <c r="Q16" s="163" t="str">
        <f t="shared" si="1"/>
        <v>-</v>
      </c>
      <c r="S16" s="133"/>
      <c r="T16" s="133"/>
    </row>
    <row r="17" spans="2:20" ht="15.6" hidden="1" customHeight="1" x14ac:dyDescent="0.3">
      <c r="B17" s="170" t="s">
        <v>211</v>
      </c>
      <c r="C17" s="169" t="e">
        <f>_xlfn.XLOOKUP(Table53[[#This Row],[ASSET '#]],'[2]DCC-Project Penjom'!#REF!,'[2]DCC-Project Penjom'!#REF!)</f>
        <v>#REF!</v>
      </c>
      <c r="D17" s="169" t="e">
        <f>_xlfn.XLOOKUP(Table53[[#This Row],[ASSET '#]],'[2]DCC-Project Penjom'!#REF!,'[2]DCC-Project Penjom'!#REF!)</f>
        <v>#REF!</v>
      </c>
      <c r="E17" s="169" t="s">
        <v>206</v>
      </c>
      <c r="F17" s="168" t="e">
        <f>IF($O$4="Day",SUMIFS([3]!DailyEntry[BD],[3]!DailyEntry[RIG '#],Table53[[#This Row],[ASSET '#]],[3]!DailyEntry[Day],[3]Availabilities!#REF!),IF([3]Availabilities!$O$4="Week",SUMIFS([3]!DailyEntry[BD],[3]!DailyEntry[RIG '#],Table53[[#This Row],[ASSET '#]],[3]!DailyEntry[Week],VLOOKUP([3]Availabilities!#REF!,#REF!,2,FALSE)),IF([3]Availabilities!$O$4="Month",SUMIFS([3]!DailyEntry[BD],[3]!DailyEntry[RIG '#],Table53[[#This Row],[ASSET '#]],[3]!DailyEntry[Month],[3]Availabilities!$J$5),"0")))</f>
        <v>#REF!</v>
      </c>
      <c r="G17" s="167" t="e">
        <f>IF($O$4="Day",SUMIFS([3]!DailyEntry[SR],[3]!DailyEntry[RIG '#],Table53[[#This Row],[ASSET '#]],[3]!DailyEntry[Day],[3]Availabilities!#REF!),IF([3]Availabilities!$O$4="Week",SUMIFS([3]!DailyEntry[SR],[3]!DailyEntry[RIG '#],Table53[[#This Row],[ASSET '#]],[3]!DailyEntry[Week],VLOOKUP([3]Availabilities!#REF!,#REF!,2,FALSE)),IF([3]Availabilities!$O$4="Month",SUMIFS([3]!DailyEntry[SR],[3]!DailyEntry[RIG '#],Table53[[#This Row],[ASSET '#]],[3]!DailyEntry[Month],[3]Availabilities!$J$5),"0")))</f>
        <v>#REF!</v>
      </c>
      <c r="H17" s="167" t="e">
        <f>IF($O$4="Day",SUMIFS([3]!DailyEntry[WP],[3]!DailyEntry[RIG '#],Table53[[#This Row],[ASSET '#]],[3]!DailyEntry[Day],[3]Availabilities!#REF!),IF([3]Availabilities!$O$4="Week",SUMIFS([3]!DailyEntry[WP],[3]!DailyEntry[RIG '#],Table53[[#This Row],[ASSET '#]],[3]!DailyEntry[Week],VLOOKUP([3]Availabilities!#REF!,#REF!,2,FALSE)),IF([3]Availabilities!$O$4="Month",SUMIFS([3]!DailyEntry[WP],[3]!DailyEntry[RIG '#],Table53[[#This Row],[ASSET '#]],[3]!DailyEntry[Month],[3]Availabilities!$J$5),"0")))</f>
        <v>#REF!</v>
      </c>
      <c r="I17" s="166" t="e">
        <f>IF($O$4="Day",SUMIFS([3]!DailyEntry[OD],[3]!DailyEntry[RIG '#],Table53[[#This Row],[ASSET '#]],[3]!DailyEntry[Day],[3]Availabilities!#REF!),IF([3]Availabilities!$O$4="Week",SUMIFS([3]!DailyEntry[OD],[3]!DailyEntry[RIG '#],Table53[[#This Row],[ASSET '#]],[3]!DailyEntry[Week],VLOOKUP([3]Availabilities!#REF!,#REF!,2,FALSE)),IF([3]Availabilities!$O$4="Month",SUMIFS([3]!DailyEntry[OD],[3]!DailyEntry[RIG '#],Table53[[#This Row],[ASSET '#]],[3]!DailyEntry[Month],[3]Availabilities!$J$5),"0")))</f>
        <v>#REF!</v>
      </c>
      <c r="J17" s="164" t="e">
        <f>IF($O$4="Day",SUMIFS([3]!DailyEntry['# Of PL Jobs],[3]!DailyEntry[RIG '#],Table53[[#This Row],[ASSET '#]],[3]!DailyEntry[Day],[3]Availabilities!#REF!),IF([3]Availabilities!$O$4="Week",SUMIFS([3]!DailyEntry['# Of PL Jobs],[3]!DailyEntry[RIG '#],Table53[[#This Row],[ASSET '#]],[3]!DailyEntry[Week],VLOOKUP([3]Availabilities!#REF!,#REF!,2,FALSE)),IF([3]Availabilities!$O$4="Month",SUMIFS([3]!DailyEntry['# Of PL Jobs],[3]!DailyEntry[RIG '#],Table53[[#This Row],[ASSET '#]],[3]!DailyEntry[Month],[3]Availabilities!$J$5),"0")))</f>
        <v>#REF!</v>
      </c>
      <c r="K17" s="164" t="e">
        <f>IF($O$4="Day",SUMIFS([3]!DailyEntry['# Of UP Stoppage],[3]!DailyEntry[RIG '#],Table53[[#This Row],[ASSET '#]],[3]!DailyEntry[Day],[3]Availabilities!#REF!),IF([3]Availabilities!$O$4="Week",SUMIFS([3]!DailyEntry['# Of UP Stoppage],[3]!DailyEntry[RIG '#],Table53[[#This Row],[ASSET '#]],[3]!DailyEntry[Week],VLOOKUP([3]Availabilities!#REF!,#REF!,2,FALSE)),IF([3]Availabilities!$O$4="Month",SUMIFS([3]!DailyEntry['# Of UP Stoppage],[3]!DailyEntry[RIG '#],Table53[[#This Row],[ASSET '#]],[3]!DailyEntry[Month],[3]Availabilities!$J$5),"0")))</f>
        <v>#REF!</v>
      </c>
      <c r="L17" s="164" t="e">
        <f>Table53[[#This Row],[SR]]</f>
        <v>#REF!</v>
      </c>
      <c r="M17" s="164" t="e">
        <f>SUM(F17:F17,H17)</f>
        <v>#REF!</v>
      </c>
      <c r="N17" s="165" t="str">
        <f t="shared" si="0"/>
        <v>-</v>
      </c>
      <c r="O17" s="164" t="str">
        <f>IF($P$4="Day",SUMIFS([4]!DailyEntry[Work hrs],[4]!DailyEntry[RIG '#],[4]!Table5[[#This Row],[ASSET '#]],[4]!DailyEntry[Day],[4]Availabilities!$G$5),IF([4]Availabilities!$P$4="Week",SUMIFS([4]!DailyEntry[Work hrs],[4]!DailyEntry[RIG '#],[4]!Table5[[#This Row],[ASSET '#]],[4]!DailyEntry[Week],VLOOKUP([4]Availabilities!$G$5,[4]Reference!$T:$U,2,FALSE)),IF([4]Availabilities!$P$4="Month",SUMIFS([4]!DailyEntry[Work hrs],[4]!DailyEntry[RIG '#],[4]!Table5[[#This Row],[ASSET '#]],[4]!DailyEntry[Month],[4]Availabilities!$M$5),"0")))</f>
        <v>0</v>
      </c>
      <c r="P17" s="163" t="e">
        <f>IFERROR(Table53[[#This Row],[Work hrs]]-Table53[[#This Row],[TDT]]/Table53[[#This Row],[No. UPL / Down]],Table53[[#This Row],[Work hrs]]-Table53[[#This Row],[TDT]])</f>
        <v>#REF!</v>
      </c>
      <c r="Q17" s="163" t="str">
        <f t="shared" si="1"/>
        <v>-</v>
      </c>
      <c r="S17" s="133"/>
      <c r="T17" s="133"/>
    </row>
    <row r="18" spans="2:20" ht="15.6" hidden="1" customHeight="1" x14ac:dyDescent="0.3">
      <c r="B18" s="170" t="s">
        <v>210</v>
      </c>
      <c r="C18" s="169"/>
      <c r="D18" s="169" t="e">
        <f>_xlfn.XLOOKUP(Table53[[#This Row],[ASSET '#]],'[2]DCC-Project Penjom'!#REF!,'[2]DCC-Project Penjom'!#REF!)</f>
        <v>#REF!</v>
      </c>
      <c r="E18" s="169" t="s">
        <v>206</v>
      </c>
      <c r="F18" s="168" t="e">
        <f>IF($O$4="Day",SUMIFS([3]!DailyEntry[BD],[3]!DailyEntry[RIG '#],Table53[[#This Row],[ASSET '#]],[3]!DailyEntry[Day],[3]Availabilities!#REF!),IF([3]Availabilities!$O$4="Week",SUMIFS([3]!DailyEntry[BD],[3]!DailyEntry[RIG '#],Table53[[#This Row],[ASSET '#]],[3]!DailyEntry[Week],VLOOKUP([3]Availabilities!#REF!,#REF!,2,FALSE)),IF([3]Availabilities!$O$4="Month",SUMIFS([3]!DailyEntry[BD],[3]!DailyEntry[RIG '#],Table53[[#This Row],[ASSET '#]],[3]!DailyEntry[Month],[3]Availabilities!$J$5),"0")))</f>
        <v>#REF!</v>
      </c>
      <c r="G18" s="167" t="e">
        <f>IF($O$4="Day",SUMIFS([3]!DailyEntry[SR],[3]!DailyEntry[RIG '#],Table53[[#This Row],[ASSET '#]],[3]!DailyEntry[Day],[3]Availabilities!#REF!),IF([3]Availabilities!$O$4="Week",SUMIFS([3]!DailyEntry[SR],[3]!DailyEntry[RIG '#],Table53[[#This Row],[ASSET '#]],[3]!DailyEntry[Week],VLOOKUP([3]Availabilities!#REF!,#REF!,2,FALSE)),IF([3]Availabilities!$O$4="Month",SUMIFS([3]!DailyEntry[SR],[3]!DailyEntry[RIG '#],Table53[[#This Row],[ASSET '#]],[3]!DailyEntry[Month],[3]Availabilities!$J$5),"0")))</f>
        <v>#REF!</v>
      </c>
      <c r="H18" s="167" t="e">
        <f>IF($O$4="Day",SUMIFS([3]!DailyEntry[WP],[3]!DailyEntry[RIG '#],Table53[[#This Row],[ASSET '#]],[3]!DailyEntry[Day],[3]Availabilities!#REF!),IF([3]Availabilities!$O$4="Week",SUMIFS([3]!DailyEntry[WP],[3]!DailyEntry[RIG '#],Table53[[#This Row],[ASSET '#]],[3]!DailyEntry[Week],VLOOKUP([3]Availabilities!#REF!,#REF!,2,FALSE)),IF([3]Availabilities!$O$4="Month",SUMIFS([3]!DailyEntry[WP],[3]!DailyEntry[RIG '#],Table53[[#This Row],[ASSET '#]],[3]!DailyEntry[Month],[3]Availabilities!$J$5),"0")))</f>
        <v>#REF!</v>
      </c>
      <c r="I18" s="166" t="e">
        <f>IF($O$4="Day",SUMIFS([3]!DailyEntry[OD],[3]!DailyEntry[RIG '#],Table53[[#This Row],[ASSET '#]],[3]!DailyEntry[Day],[3]Availabilities!#REF!),IF([3]Availabilities!$O$4="Week",SUMIFS([3]!DailyEntry[OD],[3]!DailyEntry[RIG '#],Table53[[#This Row],[ASSET '#]],[3]!DailyEntry[Week],VLOOKUP([3]Availabilities!#REF!,#REF!,2,FALSE)),IF([3]Availabilities!$O$4="Month",SUMIFS([3]!DailyEntry[OD],[3]!DailyEntry[RIG '#],Table53[[#This Row],[ASSET '#]],[3]!DailyEntry[Month],[3]Availabilities!$J$5),"0")))</f>
        <v>#REF!</v>
      </c>
      <c r="J18" s="164" t="e">
        <f>IF($O$4="Day",SUMIFS([3]!DailyEntry['# Of PL Jobs],[3]!DailyEntry[RIG '#],Table53[[#This Row],[ASSET '#]],[3]!DailyEntry[Day],[3]Availabilities!#REF!),IF([3]Availabilities!$O$4="Week",SUMIFS([3]!DailyEntry['# Of PL Jobs],[3]!DailyEntry[RIG '#],Table53[[#This Row],[ASSET '#]],[3]!DailyEntry[Week],VLOOKUP([3]Availabilities!#REF!,#REF!,2,FALSE)),IF([3]Availabilities!$O$4="Month",SUMIFS([3]!DailyEntry['# Of PL Jobs],[3]!DailyEntry[RIG '#],Table53[[#This Row],[ASSET '#]],[3]!DailyEntry[Month],[3]Availabilities!$J$5),"0")))</f>
        <v>#REF!</v>
      </c>
      <c r="K18" s="164" t="e">
        <f>IF($O$4="Day",SUMIFS([3]!DailyEntry['# Of UP Stoppage],[3]!DailyEntry[RIG '#],Table53[[#This Row],[ASSET '#]],[3]!DailyEntry[Day],[3]Availabilities!#REF!),IF([3]Availabilities!$O$4="Week",SUMIFS([3]!DailyEntry['# Of UP Stoppage],[3]!DailyEntry[RIG '#],Table53[[#This Row],[ASSET '#]],[3]!DailyEntry[Week],VLOOKUP([3]Availabilities!#REF!,#REF!,2,FALSE)),IF([3]Availabilities!$O$4="Month",SUMIFS([3]!DailyEntry['# Of UP Stoppage],[3]!DailyEntry[RIG '#],Table53[[#This Row],[ASSET '#]],[3]!DailyEntry[Month],[3]Availabilities!$J$5),"0")))</f>
        <v>#REF!</v>
      </c>
      <c r="L18" s="164" t="e">
        <f>Table53[[#This Row],[SR]]</f>
        <v>#REF!</v>
      </c>
      <c r="M18" s="164" t="e">
        <f>SUM(F18:F18,H18)</f>
        <v>#REF!</v>
      </c>
      <c r="N18" s="165" t="str">
        <f t="shared" si="0"/>
        <v>-</v>
      </c>
      <c r="O18" s="164" t="str">
        <f>IF($P$4="Day",SUMIFS([4]!DailyEntry[Work hrs],[4]!DailyEntry[RIG '#],[4]!Table5[[#This Row],[ASSET '#]],[4]!DailyEntry[Day],[4]Availabilities!$G$5),IF([4]Availabilities!$P$4="Week",SUMIFS([4]!DailyEntry[Work hrs],[4]!DailyEntry[RIG '#],[4]!Table5[[#This Row],[ASSET '#]],[4]!DailyEntry[Week],VLOOKUP([4]Availabilities!$G$5,[4]Reference!$T:$U,2,FALSE)),IF([4]Availabilities!$P$4="Month",SUMIFS([4]!DailyEntry[Work hrs],[4]!DailyEntry[RIG '#],[4]!Table5[[#This Row],[ASSET '#]],[4]!DailyEntry[Month],[4]Availabilities!$M$5),"0")))</f>
        <v>0</v>
      </c>
      <c r="P18" s="163" t="e">
        <f>IFERROR(Table53[[#This Row],[Work hrs]]-Table53[[#This Row],[TDT]]/Table53[[#This Row],[No. UPL / Down]],Table53[[#This Row],[Work hrs]]-Table53[[#This Row],[TDT]])</f>
        <v>#REF!</v>
      </c>
      <c r="Q18" s="163" t="str">
        <f t="shared" si="1"/>
        <v>-</v>
      </c>
      <c r="S18" s="133"/>
      <c r="T18" s="133"/>
    </row>
    <row r="19" spans="2:20" ht="15.6" customHeight="1" x14ac:dyDescent="0.3">
      <c r="B19" s="162"/>
      <c r="C19" s="162"/>
      <c r="D19" s="162"/>
      <c r="E19" s="162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S19" s="133"/>
      <c r="T19" s="133"/>
    </row>
    <row r="20" spans="2:20" ht="33.6" customHeight="1" x14ac:dyDescent="0.3">
      <c r="B20" s="216" t="s">
        <v>209</v>
      </c>
      <c r="C20" s="216"/>
      <c r="D20" s="216"/>
      <c r="E20" s="216"/>
      <c r="F20" s="157">
        <f t="shared" ref="F20:M20" si="2">SUBTOTAL(9,F9:F19)</f>
        <v>72850</v>
      </c>
      <c r="G20" s="157">
        <f t="shared" si="2"/>
        <v>8740</v>
      </c>
      <c r="H20" s="158">
        <f t="shared" si="2"/>
        <v>43800</v>
      </c>
      <c r="I20" s="158">
        <f t="shared" si="2"/>
        <v>26355</v>
      </c>
      <c r="J20" s="160">
        <f t="shared" si="2"/>
        <v>5860</v>
      </c>
      <c r="K20" s="160">
        <f t="shared" si="2"/>
        <v>20310</v>
      </c>
      <c r="L20" s="160">
        <f t="shared" si="2"/>
        <v>5860</v>
      </c>
      <c r="M20" s="160">
        <f t="shared" si="2"/>
        <v>64110</v>
      </c>
      <c r="N20" s="159">
        <f t="shared" ref="N20:N25" si="3">IFERROR((O20-(SUM(L20:M20)))/O20,"-")</f>
        <v>0.77178734507501634</v>
      </c>
      <c r="O20" s="158">
        <f>SUBTOTAL(9,O9:O19)</f>
        <v>306600</v>
      </c>
      <c r="P20" s="158">
        <f t="shared" ref="P20:P25" si="4">IFERROR((O20-F20)/K20,O20)</f>
        <v>11.509108813392418</v>
      </c>
      <c r="Q20" s="157">
        <f t="shared" ref="Q20:Q25" si="5">IFERROR(F20/K20,"-")</f>
        <v>3.5869030034465781</v>
      </c>
    </row>
    <row r="21" spans="2:20" ht="20.25" customHeight="1" x14ac:dyDescent="0.3">
      <c r="B21" s="156" t="s">
        <v>208</v>
      </c>
      <c r="C21" s="155"/>
      <c r="D21" s="155"/>
      <c r="E21" s="154"/>
      <c r="F21" s="153">
        <f ca="1">SUMIF(Table53[[Type]:[M.T.T.R]],$B21,Table53[TDT])</f>
        <v>18540</v>
      </c>
      <c r="G21" s="153">
        <f ca="1">SUMIF(Table53[[Type]:[M.T.T.R]],$B21,Table53[SR])</f>
        <v>1440</v>
      </c>
      <c r="H21" s="153">
        <f ca="1">SUMIF(Table53[[Type]:[M.T.T.R]],$B21,Table53[WP])</f>
        <v>0</v>
      </c>
      <c r="I21" s="153">
        <f ca="1">SUMIF(Table53[[Type]:[M.T.T.R]],$B21,Table53[OD])</f>
        <v>5685</v>
      </c>
      <c r="J21" s="153">
        <f ca="1">SUMIF(Table53[[Type]:[M.T.T.R]],$B21,Table53[No. PL/Down])</f>
        <v>1440</v>
      </c>
      <c r="K21" s="153">
        <f ca="1">SUMIF(Table53[[Type]:[M.T.T.R]],$B21,Table53[No. UPL / Down])</f>
        <v>17100</v>
      </c>
      <c r="L21" s="153">
        <f ca="1">SUMIF(Table53[[Type]:[M.T.T.R]],$B21,Table53[PL Down Hrs])</f>
        <v>1440</v>
      </c>
      <c r="M21" s="153">
        <f ca="1">SUMIF(Table53[[Type]:[M.T.T.R]],$B21,Table53[UP Down Hrs])</f>
        <v>17100</v>
      </c>
      <c r="N21" s="152">
        <f t="shared" ca="1" si="3"/>
        <v>0.7883561643835616</v>
      </c>
      <c r="O21" s="151">
        <f ca="1">SUMIF(Table53[[Type]:[M.T.T.R]],$B21,Table53[Work hrs])</f>
        <v>87600</v>
      </c>
      <c r="P21" s="151">
        <f t="shared" ca="1" si="4"/>
        <v>4.0385964912280699</v>
      </c>
      <c r="Q21" s="151">
        <f t="shared" ca="1" si="5"/>
        <v>1.0842105263157895</v>
      </c>
    </row>
    <row r="22" spans="2:20" ht="20.25" customHeight="1" x14ac:dyDescent="0.3">
      <c r="B22" s="156" t="s">
        <v>207</v>
      </c>
      <c r="C22" s="155"/>
      <c r="D22" s="155"/>
      <c r="E22" s="154"/>
      <c r="F22" s="153">
        <f ca="1">SUMIF(Table53[[Type]:[M.T.T.R]],$B22,Table53[TDT])</f>
        <v>54310</v>
      </c>
      <c r="G22" s="153">
        <f ca="1">SUMIF(Table53[[Type]:[M.T.T.R]],$B22,Table53[SR])</f>
        <v>7300</v>
      </c>
      <c r="H22" s="153">
        <f ca="1">SUMIF(Table53[[Type]:[M.T.T.R]],$B22,Table53[WP])</f>
        <v>43800</v>
      </c>
      <c r="I22" s="153">
        <f ca="1">SUMIF(Table53[[Type]:[M.T.T.R]],$B22,Table53[OD])</f>
        <v>20670</v>
      </c>
      <c r="J22" s="153">
        <f ca="1">SUMIF(Table53[[Type]:[M.T.T.R]],$B22,Table53[No. PL/Down])</f>
        <v>4420</v>
      </c>
      <c r="K22" s="153">
        <f ca="1">SUMIF(Table53[[Type]:[M.T.T.R]],$B22,Table53[No. UPL / Down])</f>
        <v>3210</v>
      </c>
      <c r="L22" s="153">
        <f ca="1">SUMIF(Table53[[Type]:[M.T.T.R]],$B22,Table53[PL Down Hrs])</f>
        <v>4420</v>
      </c>
      <c r="M22" s="153">
        <f ca="1">SUMIF(Table53[[Type]:[M.T.T.R]],$B22,Table53[UP Down Hrs])</f>
        <v>47010</v>
      </c>
      <c r="N22" s="152">
        <f t="shared" ca="1" si="3"/>
        <v>0.76515981735159821</v>
      </c>
      <c r="O22" s="151">
        <f ca="1">SUMIF(Table53[[Type]:[M.T.T.R]],$B22,Table53[Work hrs])</f>
        <v>219000</v>
      </c>
      <c r="P22" s="151">
        <f t="shared" ca="1" si="4"/>
        <v>51.305295950155767</v>
      </c>
      <c r="Q22" s="151">
        <f t="shared" ca="1" si="5"/>
        <v>16.919003115264797</v>
      </c>
    </row>
    <row r="23" spans="2:20" ht="20.25" hidden="1" customHeight="1" x14ac:dyDescent="0.3">
      <c r="B23" s="156" t="s">
        <v>206</v>
      </c>
      <c r="D23" s="155"/>
      <c r="E23" s="154"/>
      <c r="F23" s="153" t="e">
        <f ca="1">SUMIF(Table53[[Type]:[M.T.T.R]],$B23,Table53[TDT])</f>
        <v>#REF!</v>
      </c>
      <c r="G23" s="153" t="e">
        <f ca="1">SUMIF(Table53[[Type]:[M.T.T.R]],$B23,Table53[SR])</f>
        <v>#REF!</v>
      </c>
      <c r="H23" s="153" t="e">
        <f ca="1">SUMIF(Table53[[Type]:[M.T.T.R]],$B23,Table53[WP])</f>
        <v>#REF!</v>
      </c>
      <c r="I23" s="153" t="e">
        <f ca="1">SUMIF(Table53[[Type]:[M.T.T.R]],$B23,Table53[OD])</f>
        <v>#REF!</v>
      </c>
      <c r="J23" s="153" t="e">
        <f ca="1">SUMIF(Table53[[Type]:[M.T.T.R]],$B23,Table53[No. PL/Down])</f>
        <v>#REF!</v>
      </c>
      <c r="K23" s="153" t="e">
        <f ca="1">SUMIF(Table53[[Type]:[M.T.T.R]],$B23,Table53[No. UPL / Down])</f>
        <v>#REF!</v>
      </c>
      <c r="L23" s="153" t="e">
        <f ca="1">SUMIF(Table53[[Type]:[M.T.T.R]],$B23,Table53[PL Down Hrs])</f>
        <v>#REF!</v>
      </c>
      <c r="M23" s="153" t="e">
        <f ca="1">SUMIF(Table53[[Type]:[M.T.T.R]],$B23,Table53[UP Down Hrs])</f>
        <v>#REF!</v>
      </c>
      <c r="N23" s="152" t="str">
        <f t="shared" ca="1" si="3"/>
        <v>-</v>
      </c>
      <c r="O23" s="151">
        <f ca="1">SUMIF(Table53[[Type]:[M.T.T.R]],$B23,Table53[Work hrs])</f>
        <v>0</v>
      </c>
      <c r="P23" s="151">
        <f t="shared" ca="1" si="4"/>
        <v>0</v>
      </c>
      <c r="Q23" s="151" t="str">
        <f t="shared" ca="1" si="5"/>
        <v>-</v>
      </c>
    </row>
    <row r="24" spans="2:20" ht="21.6" hidden="1" customHeight="1" x14ac:dyDescent="0.3">
      <c r="B24" s="156" t="s">
        <v>205</v>
      </c>
      <c r="C24" s="155"/>
      <c r="D24" s="155"/>
      <c r="E24" s="154"/>
      <c r="F24" s="153">
        <f ca="1">SUMIF(Table53[[Type]:[M.T.T.R]],$B24,Table53[TDT])</f>
        <v>0</v>
      </c>
      <c r="G24" s="153">
        <f ca="1">SUMIF(Table53[[Type]:[M.T.T.R]],$B24,Table53[SR])</f>
        <v>0</v>
      </c>
      <c r="H24" s="153">
        <f ca="1">SUMIF(Table53[[Type]:[M.T.T.R]],$B24,Table53[WP])</f>
        <v>0</v>
      </c>
      <c r="I24" s="153">
        <f ca="1">SUMIF(Table53[[Type]:[M.T.T.R]],$B24,Table53[OD])</f>
        <v>0</v>
      </c>
      <c r="J24" s="153">
        <f ca="1">SUMIF(Table53[[Type]:[M.T.T.R]],$B24,Table53[No. PL/Down])</f>
        <v>0</v>
      </c>
      <c r="K24" s="153">
        <f ca="1">SUMIF(Table53[[Type]:[M.T.T.R]],$B24,Table53[No. UPL / Down])</f>
        <v>0</v>
      </c>
      <c r="L24" s="153">
        <f ca="1">SUMIF(Table53[[Type]:[M.T.T.R]],$B24,Table53[PL Down Hrs])</f>
        <v>0</v>
      </c>
      <c r="M24" s="153">
        <f ca="1">SUMIF(Table53[[Type]:[M.T.T.R]],$B24,Table53[UP Down Hrs])</f>
        <v>0</v>
      </c>
      <c r="N24" s="152" t="str">
        <f t="shared" ca="1" si="3"/>
        <v>-</v>
      </c>
      <c r="O24" s="151">
        <f ca="1">SUMIF(Table53[[Type]:[M.T.T.R]],$B24,Table53[Work hrs])</f>
        <v>0</v>
      </c>
      <c r="P24" s="151">
        <f t="shared" ca="1" si="4"/>
        <v>0</v>
      </c>
      <c r="Q24" s="151" t="str">
        <f t="shared" ca="1" si="5"/>
        <v>-</v>
      </c>
    </row>
    <row r="25" spans="2:20" ht="21.6" hidden="1" customHeight="1" x14ac:dyDescent="0.3">
      <c r="B25" s="156" t="s">
        <v>205</v>
      </c>
      <c r="C25" s="155"/>
      <c r="D25" s="155"/>
      <c r="E25" s="154"/>
      <c r="F25" s="153">
        <f ca="1">SUMIF(Table53[[Type]:[M.T.T.R]],$B25,Table53[TDT])</f>
        <v>0</v>
      </c>
      <c r="G25" s="153">
        <f ca="1">SUMIF(Table53[[Type]:[M.T.T.R]],$B25,Table53[SR])</f>
        <v>0</v>
      </c>
      <c r="H25" s="153">
        <f ca="1">SUMIF(Table53[[Type]:[M.T.T.R]],$B25,Table53[WP])</f>
        <v>0</v>
      </c>
      <c r="I25" s="153">
        <f ca="1">SUMIF(Table53[[Type]:[M.T.T.R]],$B25,Table53[OD])</f>
        <v>0</v>
      </c>
      <c r="J25" s="153">
        <f ca="1">SUMIF(Table53[[Type]:[M.T.T.R]],$B25,Table53[No. PL/Down])</f>
        <v>0</v>
      </c>
      <c r="K25" s="153">
        <f ca="1">SUMIF(Table53[[Type]:[M.T.T.R]],$B25,Table53[No. UPL / Down])</f>
        <v>0</v>
      </c>
      <c r="L25" s="153">
        <f ca="1">SUMIF(Table53[[Type]:[M.T.T.R]],$B25,Table53[PL Down Hrs])</f>
        <v>0</v>
      </c>
      <c r="M25" s="153">
        <f ca="1">SUMIF(Table53[[Type]:[M.T.T.R]],$B25,Table53[UP Down Hrs])</f>
        <v>0</v>
      </c>
      <c r="N25" s="152" t="str">
        <f t="shared" ca="1" si="3"/>
        <v>-</v>
      </c>
      <c r="O25" s="151">
        <f ca="1">SUMIF(Table53[[Type]:[M.T.T.R]],$B25,Table53[Work hrs])</f>
        <v>0</v>
      </c>
      <c r="P25" s="151">
        <f t="shared" ca="1" si="4"/>
        <v>0</v>
      </c>
      <c r="Q25" s="151" t="str">
        <f t="shared" ca="1" si="5"/>
        <v>-</v>
      </c>
    </row>
    <row r="26" spans="2:20" x14ac:dyDescent="0.3"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</row>
    <row r="27" spans="2:20" x14ac:dyDescent="0.3"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</row>
    <row r="28" spans="2:20" x14ac:dyDescent="0.3"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</row>
    <row r="29" spans="2:20" x14ac:dyDescent="0.3"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</row>
    <row r="30" spans="2:20" x14ac:dyDescent="0.3"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</row>
    <row r="31" spans="2:20" x14ac:dyDescent="0.3"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</row>
    <row r="32" spans="2:20" x14ac:dyDescent="0.3"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</row>
    <row r="33" spans="2:26" x14ac:dyDescent="0.3"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</row>
    <row r="34" spans="2:26" ht="27" customHeight="1" x14ac:dyDescent="0.35">
      <c r="B34" s="217" t="s">
        <v>204</v>
      </c>
      <c r="C34" s="218"/>
      <c r="D34" s="219" t="s">
        <v>203</v>
      </c>
      <c r="E34" s="220"/>
      <c r="F34" s="220"/>
      <c r="G34" s="149"/>
      <c r="H34" s="221" t="s">
        <v>202</v>
      </c>
      <c r="I34" s="222"/>
      <c r="J34" s="222"/>
      <c r="K34" s="222"/>
      <c r="L34" s="150"/>
      <c r="M34" s="149"/>
      <c r="N34" s="149" t="s">
        <v>201</v>
      </c>
      <c r="O34" s="149"/>
      <c r="P34" s="149"/>
      <c r="Q34" s="149"/>
    </row>
    <row r="35" spans="2:26" x14ac:dyDescent="0.3">
      <c r="B35" s="148"/>
      <c r="C35" s="147"/>
      <c r="D35" s="146"/>
      <c r="E35" s="145"/>
      <c r="F35" s="145"/>
      <c r="G35" s="140"/>
      <c r="H35" s="140"/>
      <c r="I35" s="144"/>
      <c r="J35" s="144"/>
      <c r="K35" s="144"/>
      <c r="M35" s="140"/>
      <c r="N35" s="140"/>
      <c r="O35" s="140"/>
      <c r="P35" s="140"/>
      <c r="Q35" s="140"/>
    </row>
    <row r="36" spans="2:26" x14ac:dyDescent="0.3">
      <c r="B36" s="148"/>
      <c r="C36" s="147"/>
      <c r="D36" s="146"/>
      <c r="E36" s="145"/>
      <c r="F36" s="145"/>
      <c r="G36" s="140"/>
      <c r="H36" s="140"/>
      <c r="I36" s="144"/>
      <c r="J36" s="144"/>
      <c r="K36" s="144"/>
      <c r="M36" s="140"/>
      <c r="N36" s="140"/>
      <c r="O36" s="140"/>
      <c r="P36" s="140"/>
      <c r="Q36" s="140"/>
    </row>
    <row r="37" spans="2:26" x14ac:dyDescent="0.3">
      <c r="B37" s="148"/>
      <c r="C37" s="147"/>
      <c r="D37" s="146"/>
      <c r="E37" s="145"/>
      <c r="F37" s="145"/>
      <c r="G37" s="140"/>
      <c r="H37" s="140"/>
      <c r="I37" s="144"/>
      <c r="J37" s="144"/>
      <c r="K37" s="144"/>
      <c r="M37" s="140"/>
      <c r="N37" s="140"/>
      <c r="O37" s="140"/>
      <c r="P37" s="140"/>
      <c r="Q37" s="140"/>
    </row>
    <row r="38" spans="2:26" x14ac:dyDescent="0.3">
      <c r="B38" s="148"/>
      <c r="C38" s="147"/>
      <c r="D38" s="146"/>
      <c r="E38" s="145"/>
      <c r="F38" s="145"/>
      <c r="G38" s="140"/>
      <c r="H38" s="140"/>
      <c r="I38" s="144"/>
      <c r="J38" s="144"/>
      <c r="K38" s="144"/>
      <c r="M38" s="140"/>
      <c r="N38" s="140"/>
      <c r="O38" s="140"/>
      <c r="P38" s="140"/>
      <c r="Q38" s="140"/>
    </row>
    <row r="39" spans="2:26" x14ac:dyDescent="0.3">
      <c r="B39" s="148"/>
      <c r="C39" s="147"/>
      <c r="D39" s="146"/>
      <c r="E39" s="145"/>
      <c r="F39" s="145"/>
      <c r="G39" s="140"/>
      <c r="H39" s="140"/>
      <c r="I39" s="144"/>
      <c r="J39" s="144"/>
      <c r="K39" s="144"/>
      <c r="M39" s="140"/>
      <c r="N39" s="140"/>
      <c r="O39" s="140"/>
      <c r="P39" s="140"/>
      <c r="Q39" s="140"/>
    </row>
    <row r="40" spans="2:26" x14ac:dyDescent="0.3">
      <c r="B40" s="140"/>
      <c r="C40" s="143"/>
      <c r="D40" s="142"/>
      <c r="E40" s="141"/>
      <c r="F40" s="141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</row>
    <row r="41" spans="2:26" ht="15.6" customHeight="1" x14ac:dyDescent="0.3">
      <c r="B41" s="131"/>
      <c r="N41" s="136" t="s">
        <v>200</v>
      </c>
      <c r="O41" s="135">
        <f>J20/(J20+K20)</f>
        <v>0.22392051967902177</v>
      </c>
      <c r="P41" s="139" t="s">
        <v>199</v>
      </c>
      <c r="Q41" s="138">
        <f>$G$20/SUM($F$20:$I$20)</f>
        <v>5.7596625918481664E-2</v>
      </c>
    </row>
    <row r="42" spans="2:26" ht="15.6" customHeight="1" x14ac:dyDescent="0.3">
      <c r="B42" s="131"/>
      <c r="N42" s="136" t="s">
        <v>198</v>
      </c>
      <c r="O42" s="135">
        <f>K20/(J20+K20)</f>
        <v>0.77607948032097818</v>
      </c>
      <c r="P42" s="136" t="s">
        <v>197</v>
      </c>
      <c r="Q42" s="137">
        <f>$F$20/SUM($F$20:$I$20)</f>
        <v>0.48008171603677224</v>
      </c>
    </row>
    <row r="43" spans="2:26" ht="15.6" customHeight="1" x14ac:dyDescent="0.3">
      <c r="B43" s="131"/>
      <c r="P43" s="139" t="s">
        <v>196</v>
      </c>
      <c r="Q43" s="138">
        <f>$H$20/SUM($F$20:$I$20)</f>
        <v>0.28864212988895843</v>
      </c>
    </row>
    <row r="44" spans="2:26" ht="15.6" customHeight="1" x14ac:dyDescent="0.3">
      <c r="B44" s="131"/>
      <c r="P44" s="136" t="s">
        <v>195</v>
      </c>
      <c r="Q44" s="137">
        <f>$I$20/SUM($F$20:$I$20)</f>
        <v>0.17367952815578766</v>
      </c>
      <c r="W44" s="140"/>
      <c r="X44" s="140"/>
      <c r="Y44" s="140"/>
      <c r="Z44" s="140"/>
    </row>
    <row r="45" spans="2:26" ht="15.6" customHeight="1" x14ac:dyDescent="0.3">
      <c r="B45" s="131"/>
      <c r="N45" s="136"/>
      <c r="O45" s="135"/>
      <c r="P45" s="135"/>
      <c r="Q45" s="130"/>
      <c r="W45" s="136" t="s">
        <v>200</v>
      </c>
      <c r="X45" s="135" t="e">
        <f>S24/(S24+T24)</f>
        <v>#DIV/0!</v>
      </c>
      <c r="Y45" s="139" t="s">
        <v>199</v>
      </c>
      <c r="Z45" s="138">
        <f>$G$20/SUM($F$20:$I$20)</f>
        <v>5.7596625918481664E-2</v>
      </c>
    </row>
    <row r="46" spans="2:26" ht="15.6" customHeight="1" x14ac:dyDescent="0.3">
      <c r="B46" s="131"/>
      <c r="N46" s="136"/>
      <c r="O46" s="135"/>
      <c r="P46" s="135"/>
      <c r="Q46" s="130"/>
      <c r="W46" s="136" t="s">
        <v>198</v>
      </c>
      <c r="X46" s="135" t="e">
        <f>T24/(S24+T24)</f>
        <v>#DIV/0!</v>
      </c>
      <c r="Y46" s="136" t="s">
        <v>197</v>
      </c>
      <c r="Z46" s="137">
        <f>$F$20/SUM($F$20:$I$20)</f>
        <v>0.48008171603677224</v>
      </c>
    </row>
    <row r="47" spans="2:26" x14ac:dyDescent="0.3">
      <c r="B47" s="131"/>
      <c r="Q47" s="130"/>
      <c r="Y47" s="139" t="s">
        <v>196</v>
      </c>
      <c r="Z47" s="138">
        <f>$H$20/SUM($F$20:$I$20)</f>
        <v>0.28864212988895843</v>
      </c>
    </row>
    <row r="48" spans="2:26" x14ac:dyDescent="0.3">
      <c r="B48" s="131"/>
      <c r="Q48" s="130"/>
      <c r="Y48" s="136" t="s">
        <v>195</v>
      </c>
      <c r="Z48" s="137">
        <f>$I$20/SUM($F$20:$I$20)</f>
        <v>0.17367952815578766</v>
      </c>
    </row>
    <row r="49" spans="2:26" x14ac:dyDescent="0.3">
      <c r="B49" s="131"/>
      <c r="Q49" s="130"/>
      <c r="W49" s="136"/>
      <c r="X49" s="135"/>
      <c r="Y49" s="135"/>
      <c r="Z49" s="130"/>
    </row>
    <row r="50" spans="2:26" x14ac:dyDescent="0.3">
      <c r="B50" s="131"/>
      <c r="Q50" s="130"/>
    </row>
    <row r="51" spans="2:26" x14ac:dyDescent="0.3">
      <c r="B51" s="131"/>
      <c r="Q51" s="130"/>
    </row>
    <row r="52" spans="2:26" x14ac:dyDescent="0.3">
      <c r="B52" s="134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2"/>
    </row>
    <row r="53" spans="2:26" x14ac:dyDescent="0.3">
      <c r="B53" s="131"/>
      <c r="Q53" s="130"/>
    </row>
    <row r="54" spans="2:26" x14ac:dyDescent="0.3">
      <c r="B54" s="131"/>
      <c r="Q54" s="130"/>
    </row>
    <row r="55" spans="2:26" ht="12.6" customHeight="1" x14ac:dyDescent="0.3">
      <c r="B55" s="131"/>
      <c r="Q55" s="130"/>
    </row>
    <row r="56" spans="2:26" ht="8.1" customHeight="1" x14ac:dyDescent="0.3">
      <c r="B56" s="131"/>
      <c r="Q56" s="130"/>
    </row>
    <row r="57" spans="2:26" ht="12.6" customHeight="1" x14ac:dyDescent="0.3">
      <c r="B57" s="131"/>
      <c r="Q57" s="130"/>
    </row>
    <row r="58" spans="2:26" ht="12.6" customHeight="1" x14ac:dyDescent="0.3">
      <c r="B58" s="131"/>
      <c r="Q58" s="130"/>
    </row>
    <row r="59" spans="2:26" ht="12.6" customHeight="1" x14ac:dyDescent="0.3">
      <c r="B59" s="131"/>
      <c r="Q59" s="130"/>
    </row>
    <row r="60" spans="2:26" ht="12.6" customHeight="1" x14ac:dyDescent="0.3">
      <c r="B60" s="131"/>
      <c r="Q60" s="130"/>
    </row>
    <row r="61" spans="2:26" ht="12.6" customHeight="1" x14ac:dyDescent="0.3">
      <c r="B61" s="131"/>
      <c r="Q61" s="130"/>
    </row>
    <row r="62" spans="2:26" ht="12.6" customHeight="1" x14ac:dyDescent="0.3">
      <c r="B62" s="131"/>
      <c r="Q62" s="130"/>
    </row>
    <row r="63" spans="2:26" x14ac:dyDescent="0.3">
      <c r="B63" s="131"/>
      <c r="Q63" s="130"/>
    </row>
    <row r="64" spans="2:26" x14ac:dyDescent="0.3">
      <c r="B64" s="131"/>
      <c r="Q64" s="130"/>
    </row>
    <row r="65" spans="2:17" x14ac:dyDescent="0.3">
      <c r="B65" s="131"/>
      <c r="Q65" s="130"/>
    </row>
    <row r="66" spans="2:17" x14ac:dyDescent="0.3">
      <c r="B66" s="131"/>
      <c r="Q66" s="130"/>
    </row>
    <row r="67" spans="2:17" x14ac:dyDescent="0.3">
      <c r="B67" s="131"/>
      <c r="Q67" s="130"/>
    </row>
    <row r="68" spans="2:17" x14ac:dyDescent="0.3">
      <c r="B68" s="131"/>
      <c r="Q68" s="130"/>
    </row>
    <row r="69" spans="2:17" x14ac:dyDescent="0.3">
      <c r="B69" s="131"/>
      <c r="Q69" s="130"/>
    </row>
    <row r="70" spans="2:17" x14ac:dyDescent="0.3">
      <c r="B70" s="131"/>
      <c r="Q70" s="130"/>
    </row>
    <row r="71" spans="2:17" x14ac:dyDescent="0.3">
      <c r="B71" s="131"/>
      <c r="Q71" s="130"/>
    </row>
    <row r="72" spans="2:17" x14ac:dyDescent="0.3">
      <c r="B72" s="131"/>
      <c r="Q72" s="130"/>
    </row>
    <row r="73" spans="2:17" x14ac:dyDescent="0.3">
      <c r="B73" s="131"/>
      <c r="Q73" s="130"/>
    </row>
    <row r="74" spans="2:17" x14ac:dyDescent="0.3">
      <c r="B74" s="131"/>
      <c r="Q74" s="130"/>
    </row>
    <row r="75" spans="2:17" x14ac:dyDescent="0.3">
      <c r="B75" s="131"/>
      <c r="Q75" s="130"/>
    </row>
    <row r="76" spans="2:17" x14ac:dyDescent="0.3">
      <c r="B76" s="129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7"/>
    </row>
    <row r="82" spans="2:17" ht="27.6" customHeight="1" x14ac:dyDescent="0.3">
      <c r="B82" s="208" t="s">
        <v>194</v>
      </c>
      <c r="C82" s="209"/>
      <c r="D82" s="208" t="s">
        <v>193</v>
      </c>
      <c r="E82" s="210"/>
      <c r="F82" s="210"/>
      <c r="G82" s="210"/>
      <c r="H82" s="210"/>
      <c r="I82" s="210"/>
      <c r="J82" s="210"/>
      <c r="K82" s="209"/>
      <c r="L82" s="208" t="s">
        <v>192</v>
      </c>
      <c r="M82" s="210"/>
      <c r="N82" s="210"/>
      <c r="O82" s="210"/>
      <c r="P82" s="210"/>
      <c r="Q82" s="209"/>
    </row>
    <row r="2667" spans="2:10" x14ac:dyDescent="0.3">
      <c r="B2667" s="126" t="s">
        <v>191</v>
      </c>
      <c r="E2667" s="126" t="s">
        <v>190</v>
      </c>
      <c r="G2667" s="126" t="s">
        <v>189</v>
      </c>
      <c r="H2667" s="126" t="s">
        <v>188</v>
      </c>
      <c r="I2667" s="126" t="s">
        <v>187</v>
      </c>
      <c r="J2667" s="126" t="s">
        <v>186</v>
      </c>
    </row>
  </sheetData>
  <sheetProtection selectLockedCells="1" selectUnlockedCells="1"/>
  <mergeCells count="16">
    <mergeCell ref="B2:C2"/>
    <mergeCell ref="D2:M2"/>
    <mergeCell ref="N2:Q2"/>
    <mergeCell ref="F4:L4"/>
    <mergeCell ref="M4:N4"/>
    <mergeCell ref="O4:Q4"/>
    <mergeCell ref="B82:C82"/>
    <mergeCell ref="D82:K82"/>
    <mergeCell ref="L82:Q82"/>
    <mergeCell ref="G5:H5"/>
    <mergeCell ref="J6:K6"/>
    <mergeCell ref="O6:Q6"/>
    <mergeCell ref="B20:E20"/>
    <mergeCell ref="B34:C34"/>
    <mergeCell ref="D34:F34"/>
    <mergeCell ref="H34:K34"/>
  </mergeCells>
  <dataValidations count="3">
    <dataValidation type="list" allowBlank="1" showInputMessage="1" showErrorMessage="1" sqref="B21:B25 E9:E18" xr:uid="{80E0D0FE-05EF-4B97-B37E-3849E452087D}">
      <formula1>"DD,RC/GC,BH,RAB,WH,UG,TBA"</formula1>
    </dataValidation>
    <dataValidation type="list" allowBlank="1" showInputMessage="1" showErrorMessage="1" prompt="Select Report Option" sqref="O4:Q4" xr:uid="{8A32D9C1-11D9-44EF-8CF4-CE2D9BBC77E5}">
      <formula1>"Day,Week,Month"</formula1>
    </dataValidation>
    <dataValidation type="list" allowBlank="1" showInputMessage="1" showErrorMessage="1" sqref="E19" xr:uid="{3CBD3BD4-3A6D-4253-8AC2-0E1AA0CB005A}">
      <formula1>"Exploration,Blast Hole,Grade Control"</formula1>
    </dataValidation>
  </dataValidations>
  <printOptions horizontalCentered="1"/>
  <pageMargins left="0.25" right="0.25" top="0.5" bottom="0.5" header="0.3" footer="0.3"/>
  <pageSetup paperSize="9" scale="58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6"/>
  <sheetViews>
    <sheetView topLeftCell="A85" zoomScaleNormal="100" workbookViewId="0">
      <selection activeCell="A94" sqref="A94:G96"/>
    </sheetView>
  </sheetViews>
  <sheetFormatPr defaultRowHeight="14.4" x14ac:dyDescent="0.3"/>
  <cols>
    <col min="1" max="1" width="12.5546875" customWidth="1"/>
    <col min="2" max="2" width="10" customWidth="1"/>
    <col min="3" max="3" width="13.109375" customWidth="1"/>
    <col min="4" max="4" width="15" customWidth="1"/>
    <col min="5" max="5" width="11.109375" bestFit="1" customWidth="1"/>
    <col min="6" max="6" width="13.33203125" bestFit="1" customWidth="1"/>
    <col min="7" max="7" width="17.88671875" style="14" bestFit="1" customWidth="1"/>
    <col min="8" max="8" width="59.6640625" style="31" bestFit="1" customWidth="1"/>
    <col min="9" max="9" width="17.88671875" customWidth="1"/>
    <col min="10" max="10" width="19.109375" style="14" customWidth="1"/>
    <col min="11" max="11" width="27.109375" customWidth="1"/>
    <col min="12" max="12" width="15.88671875" bestFit="1" customWidth="1"/>
    <col min="13" max="13" width="14.44140625" bestFit="1" customWidth="1"/>
    <col min="14" max="14" width="14.6640625" customWidth="1"/>
  </cols>
  <sheetData>
    <row r="1" spans="1:14" x14ac:dyDescent="0.3">
      <c r="A1" s="16"/>
      <c r="B1" s="17"/>
      <c r="C1" s="17"/>
      <c r="D1" s="17"/>
      <c r="E1" s="17"/>
      <c r="F1" s="17"/>
      <c r="G1" s="18"/>
      <c r="H1" s="30"/>
      <c r="I1" s="17"/>
      <c r="J1" s="18"/>
      <c r="K1" s="17"/>
      <c r="L1" s="17"/>
      <c r="M1" s="17"/>
      <c r="N1" s="19"/>
    </row>
    <row r="2" spans="1:14" x14ac:dyDescent="0.3">
      <c r="A2" s="20"/>
      <c r="N2" s="21"/>
    </row>
    <row r="3" spans="1:14" ht="15" thickBot="1" x14ac:dyDescent="0.35">
      <c r="A3" s="20"/>
      <c r="N3" s="21"/>
    </row>
    <row r="4" spans="1:14" ht="21.6" thickBot="1" x14ac:dyDescent="0.45">
      <c r="A4" s="244" t="s">
        <v>171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6"/>
      <c r="M4" s="247"/>
      <c r="N4" s="248"/>
    </row>
    <row r="5" spans="1:14" ht="18.600000000000001" customHeight="1" thickBot="1" x14ac:dyDescent="0.4">
      <c r="A5" s="249" t="s">
        <v>172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L5" s="22"/>
      <c r="M5" s="22"/>
      <c r="N5" s="23"/>
    </row>
    <row r="6" spans="1:14" ht="50.25" hidden="1" customHeight="1" x14ac:dyDescent="0.3">
      <c r="A6" s="252" t="s">
        <v>0</v>
      </c>
      <c r="B6" s="253" t="s">
        <v>1</v>
      </c>
      <c r="C6" s="253"/>
      <c r="D6" s="5" t="s">
        <v>2</v>
      </c>
      <c r="E6" s="5"/>
      <c r="F6" s="5"/>
      <c r="G6" s="10" t="s">
        <v>3</v>
      </c>
      <c r="H6" s="43" t="s">
        <v>4</v>
      </c>
      <c r="I6" s="6" t="s">
        <v>5</v>
      </c>
      <c r="J6" s="15" t="s">
        <v>6</v>
      </c>
      <c r="K6" s="7" t="s">
        <v>7</v>
      </c>
      <c r="L6" s="22"/>
      <c r="M6" s="22"/>
      <c r="N6" s="23"/>
    </row>
    <row r="7" spans="1:14" ht="18.600000000000001" hidden="1" thickBot="1" x14ac:dyDescent="0.4">
      <c r="A7" s="252"/>
      <c r="B7" s="254" t="s">
        <v>8</v>
      </c>
      <c r="C7" s="255"/>
      <c r="D7" s="8" t="s">
        <v>9</v>
      </c>
      <c r="E7" s="8"/>
      <c r="F7" s="8"/>
      <c r="G7" s="8" t="s">
        <v>10</v>
      </c>
      <c r="H7" s="44" t="s">
        <v>9</v>
      </c>
      <c r="I7" s="8" t="s">
        <v>10</v>
      </c>
      <c r="J7" s="9" t="s">
        <v>11</v>
      </c>
      <c r="K7" s="256" t="s">
        <v>12</v>
      </c>
      <c r="L7" s="22"/>
      <c r="M7" s="22"/>
      <c r="N7" s="23"/>
    </row>
    <row r="8" spans="1:14" ht="29.4" hidden="1" thickBot="1" x14ac:dyDescent="0.35">
      <c r="A8" s="252" t="s">
        <v>13</v>
      </c>
      <c r="B8" s="252" t="s">
        <v>14</v>
      </c>
      <c r="C8" s="252"/>
      <c r="D8" s="10" t="s">
        <v>15</v>
      </c>
      <c r="E8" s="10"/>
      <c r="F8" s="10"/>
      <c r="G8" s="11" t="s">
        <v>3</v>
      </c>
      <c r="H8" s="43" t="s">
        <v>4</v>
      </c>
      <c r="I8" s="11" t="s">
        <v>5</v>
      </c>
      <c r="J8" s="12" t="s">
        <v>6</v>
      </c>
      <c r="K8" s="257"/>
      <c r="L8" s="22"/>
      <c r="M8" s="22"/>
      <c r="N8" s="23"/>
    </row>
    <row r="9" spans="1:14" ht="18.600000000000001" hidden="1" thickBot="1" x14ac:dyDescent="0.4">
      <c r="A9" s="252"/>
      <c r="B9" s="254" t="s">
        <v>9</v>
      </c>
      <c r="C9" s="255"/>
      <c r="D9" s="8" t="s">
        <v>8</v>
      </c>
      <c r="E9" s="8"/>
      <c r="F9" s="8"/>
      <c r="G9" s="8" t="s">
        <v>10</v>
      </c>
      <c r="H9" s="44" t="s">
        <v>16</v>
      </c>
      <c r="I9" s="8" t="s">
        <v>17</v>
      </c>
      <c r="J9" s="9" t="s">
        <v>18</v>
      </c>
      <c r="K9" s="258"/>
      <c r="L9" s="22"/>
      <c r="M9" s="22"/>
      <c r="N9" s="23"/>
    </row>
    <row r="10" spans="1:14" x14ac:dyDescent="0.3">
      <c r="A10" s="262"/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4"/>
    </row>
    <row r="11" spans="1:14" x14ac:dyDescent="0.3">
      <c r="A11" s="265"/>
      <c r="B11" s="266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7"/>
    </row>
    <row r="12" spans="1:14" ht="34.5" customHeight="1" thickBot="1" x14ac:dyDescent="0.35">
      <c r="A12" s="265"/>
      <c r="B12" s="266"/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9"/>
    </row>
    <row r="13" spans="1:14" ht="48.75" customHeight="1" thickBot="1" x14ac:dyDescent="0.35">
      <c r="A13" s="77" t="s">
        <v>28</v>
      </c>
      <c r="B13" s="78">
        <v>31</v>
      </c>
      <c r="C13" s="78" t="s">
        <v>29</v>
      </c>
      <c r="D13" s="101">
        <v>2</v>
      </c>
      <c r="E13" s="79"/>
      <c r="F13" s="79"/>
      <c r="G13" s="78" t="s">
        <v>30</v>
      </c>
      <c r="H13" s="78">
        <f>+B13-D13</f>
        <v>29</v>
      </c>
      <c r="I13" s="78" t="s">
        <v>31</v>
      </c>
      <c r="J13" s="78">
        <v>2</v>
      </c>
      <c r="K13" s="78" t="s">
        <v>52</v>
      </c>
      <c r="L13" s="79">
        <v>720</v>
      </c>
      <c r="M13" s="78" t="s">
        <v>33</v>
      </c>
      <c r="N13" s="80">
        <f>+((H13*J13*L13)-G93)/(H13*J13*L13)</f>
        <v>0.95330459770114939</v>
      </c>
    </row>
    <row r="14" spans="1:14" ht="21.6" thickBot="1" x14ac:dyDescent="0.45">
      <c r="A14" s="270" t="s">
        <v>183</v>
      </c>
      <c r="B14" s="271"/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3"/>
    </row>
    <row r="15" spans="1:14" ht="63" customHeight="1" x14ac:dyDescent="0.3">
      <c r="A15" s="81" t="s">
        <v>19</v>
      </c>
      <c r="B15" s="78" t="s">
        <v>20</v>
      </c>
      <c r="C15" s="78" t="s">
        <v>21</v>
      </c>
      <c r="D15" s="79" t="s">
        <v>22</v>
      </c>
      <c r="E15" s="82" t="s">
        <v>166</v>
      </c>
      <c r="F15" s="82" t="s">
        <v>57</v>
      </c>
      <c r="G15" s="82" t="s">
        <v>55</v>
      </c>
      <c r="H15" s="82" t="s">
        <v>23</v>
      </c>
      <c r="I15" s="82" t="s">
        <v>24</v>
      </c>
      <c r="J15" s="82" t="s">
        <v>32</v>
      </c>
      <c r="K15" s="274" t="s">
        <v>25</v>
      </c>
      <c r="L15" s="275"/>
      <c r="M15" s="275"/>
      <c r="N15" s="276"/>
    </row>
    <row r="16" spans="1:14" ht="17.25" customHeight="1" x14ac:dyDescent="0.3">
      <c r="A16" s="59">
        <v>46023</v>
      </c>
      <c r="B16" s="60" t="s">
        <v>39</v>
      </c>
      <c r="C16" s="61" t="s">
        <v>27</v>
      </c>
      <c r="D16" s="60" t="s">
        <v>58</v>
      </c>
      <c r="E16" s="61">
        <v>0</v>
      </c>
      <c r="F16" s="61">
        <v>0</v>
      </c>
      <c r="G16" s="83">
        <v>0</v>
      </c>
      <c r="H16" s="50" t="s">
        <v>64</v>
      </c>
      <c r="I16" s="62"/>
      <c r="J16" s="60"/>
      <c r="K16" s="238"/>
      <c r="L16" s="239"/>
      <c r="M16" s="239"/>
      <c r="N16" s="240"/>
    </row>
    <row r="17" spans="1:14" ht="17.25" customHeight="1" x14ac:dyDescent="0.3">
      <c r="A17" s="59">
        <v>46023</v>
      </c>
      <c r="B17" s="60" t="s">
        <v>39</v>
      </c>
      <c r="C17" s="61" t="s">
        <v>45</v>
      </c>
      <c r="D17" s="60" t="s">
        <v>58</v>
      </c>
      <c r="E17" s="61">
        <v>0</v>
      </c>
      <c r="F17" s="61">
        <v>0</v>
      </c>
      <c r="G17" s="83">
        <v>0</v>
      </c>
      <c r="H17" s="50" t="s">
        <v>64</v>
      </c>
      <c r="I17" s="62"/>
      <c r="J17" s="60"/>
      <c r="K17" s="66"/>
      <c r="L17" s="67"/>
      <c r="M17" s="67"/>
      <c r="N17" s="68"/>
    </row>
    <row r="18" spans="1:14" ht="17.25" customHeight="1" x14ac:dyDescent="0.3">
      <c r="A18" s="59">
        <v>46024</v>
      </c>
      <c r="B18" s="60" t="s">
        <v>39</v>
      </c>
      <c r="C18" s="61" t="s">
        <v>27</v>
      </c>
      <c r="D18" s="60" t="s">
        <v>58</v>
      </c>
      <c r="E18" s="61">
        <v>0</v>
      </c>
      <c r="F18" s="61">
        <v>135</v>
      </c>
      <c r="G18" s="83">
        <v>0</v>
      </c>
      <c r="H18" s="50" t="s">
        <v>79</v>
      </c>
      <c r="I18" s="62"/>
      <c r="J18" s="60"/>
      <c r="K18" s="66"/>
      <c r="L18" s="67"/>
      <c r="M18" s="67"/>
      <c r="N18" s="68"/>
    </row>
    <row r="19" spans="1:14" ht="17.25" customHeight="1" x14ac:dyDescent="0.3">
      <c r="A19" s="59">
        <v>46024</v>
      </c>
      <c r="B19" s="60" t="s">
        <v>39</v>
      </c>
      <c r="C19" s="61" t="s">
        <v>45</v>
      </c>
      <c r="D19" s="60" t="s">
        <v>47</v>
      </c>
      <c r="E19" s="61">
        <v>0</v>
      </c>
      <c r="F19" s="61">
        <v>0</v>
      </c>
      <c r="G19" s="83">
        <v>30</v>
      </c>
      <c r="H19" s="50" t="s">
        <v>100</v>
      </c>
      <c r="I19" s="50" t="s">
        <v>101</v>
      </c>
      <c r="J19" s="60">
        <v>20075</v>
      </c>
      <c r="K19" s="66"/>
      <c r="L19" s="67"/>
      <c r="M19" s="67"/>
      <c r="N19" s="68"/>
    </row>
    <row r="20" spans="1:14" ht="17.25" customHeight="1" x14ac:dyDescent="0.3">
      <c r="A20" s="59">
        <v>46024</v>
      </c>
      <c r="B20" s="60" t="s">
        <v>39</v>
      </c>
      <c r="C20" s="61" t="s">
        <v>45</v>
      </c>
      <c r="D20" s="60" t="s">
        <v>47</v>
      </c>
      <c r="E20" s="61">
        <v>0</v>
      </c>
      <c r="F20" s="61">
        <v>0</v>
      </c>
      <c r="G20" s="83">
        <v>720</v>
      </c>
      <c r="H20" s="50" t="s">
        <v>80</v>
      </c>
      <c r="I20" s="62"/>
      <c r="J20" s="60"/>
      <c r="K20" s="238" t="s">
        <v>81</v>
      </c>
      <c r="L20" s="239"/>
      <c r="M20" s="239"/>
      <c r="N20" s="240"/>
    </row>
    <row r="21" spans="1:14" x14ac:dyDescent="0.3">
      <c r="A21" s="59">
        <v>46025</v>
      </c>
      <c r="B21" s="60" t="s">
        <v>39</v>
      </c>
      <c r="C21" s="61" t="s">
        <v>27</v>
      </c>
      <c r="D21" s="60" t="s">
        <v>47</v>
      </c>
      <c r="E21" s="60">
        <v>0</v>
      </c>
      <c r="F21" s="60">
        <v>0</v>
      </c>
      <c r="G21" s="83">
        <v>180</v>
      </c>
      <c r="H21" s="50" t="s">
        <v>86</v>
      </c>
      <c r="I21" s="62"/>
      <c r="J21" s="60"/>
      <c r="K21" s="241"/>
      <c r="L21" s="242"/>
      <c r="M21" s="242"/>
      <c r="N21" s="243"/>
    </row>
    <row r="22" spans="1:14" x14ac:dyDescent="0.3">
      <c r="A22" s="59">
        <v>46025</v>
      </c>
      <c r="B22" s="60" t="s">
        <v>39</v>
      </c>
      <c r="C22" s="61" t="s">
        <v>27</v>
      </c>
      <c r="D22" s="60" t="s">
        <v>47</v>
      </c>
      <c r="E22" s="60">
        <v>0</v>
      </c>
      <c r="F22" s="60">
        <v>0</v>
      </c>
      <c r="G22" s="83">
        <v>120</v>
      </c>
      <c r="H22" s="50" t="s">
        <v>87</v>
      </c>
      <c r="I22" s="62" t="s">
        <v>34</v>
      </c>
      <c r="J22" s="60">
        <v>20073</v>
      </c>
      <c r="K22" s="66"/>
      <c r="L22" s="67"/>
      <c r="M22" s="67"/>
      <c r="N22" s="68"/>
    </row>
    <row r="23" spans="1:14" x14ac:dyDescent="0.3">
      <c r="A23" s="59">
        <v>46025</v>
      </c>
      <c r="B23" s="60" t="s">
        <v>39</v>
      </c>
      <c r="C23" s="61" t="s">
        <v>45</v>
      </c>
      <c r="D23" s="60" t="s">
        <v>47</v>
      </c>
      <c r="E23" s="60">
        <v>0</v>
      </c>
      <c r="F23" s="60">
        <v>0</v>
      </c>
      <c r="G23" s="83">
        <v>60</v>
      </c>
      <c r="H23" s="50" t="s">
        <v>121</v>
      </c>
      <c r="I23" s="62"/>
      <c r="J23" s="60"/>
      <c r="K23" s="241"/>
      <c r="L23" s="242"/>
      <c r="M23" s="242"/>
      <c r="N23" s="243"/>
    </row>
    <row r="24" spans="1:14" x14ac:dyDescent="0.3">
      <c r="A24" s="59">
        <v>46025</v>
      </c>
      <c r="B24" s="60" t="s">
        <v>39</v>
      </c>
      <c r="C24" s="61" t="s">
        <v>45</v>
      </c>
      <c r="D24" s="60" t="s">
        <v>47</v>
      </c>
      <c r="E24" s="60">
        <v>0</v>
      </c>
      <c r="F24" s="60">
        <v>0</v>
      </c>
      <c r="G24" s="83">
        <v>90</v>
      </c>
      <c r="H24" s="50" t="s">
        <v>87</v>
      </c>
      <c r="I24" s="62" t="s">
        <v>38</v>
      </c>
      <c r="J24" s="60">
        <v>20074</v>
      </c>
      <c r="K24" s="241"/>
      <c r="L24" s="242"/>
      <c r="M24" s="242"/>
      <c r="N24" s="243"/>
    </row>
    <row r="25" spans="1:14" x14ac:dyDescent="0.3">
      <c r="A25" s="59">
        <v>46025</v>
      </c>
      <c r="B25" s="60" t="s">
        <v>39</v>
      </c>
      <c r="C25" s="61" t="s">
        <v>45</v>
      </c>
      <c r="D25" s="60" t="s">
        <v>47</v>
      </c>
      <c r="E25" s="60">
        <v>0</v>
      </c>
      <c r="F25" s="60">
        <v>0</v>
      </c>
      <c r="G25" s="83">
        <v>30</v>
      </c>
      <c r="H25" s="50" t="s">
        <v>88</v>
      </c>
      <c r="I25" s="62" t="s">
        <v>38</v>
      </c>
      <c r="J25" s="60">
        <v>20074</v>
      </c>
      <c r="K25" s="241"/>
      <c r="L25" s="242"/>
      <c r="M25" s="242"/>
      <c r="N25" s="243"/>
    </row>
    <row r="26" spans="1:14" x14ac:dyDescent="0.3">
      <c r="A26" s="59">
        <v>46026</v>
      </c>
      <c r="B26" s="60" t="s">
        <v>39</v>
      </c>
      <c r="C26" s="61" t="s">
        <v>27</v>
      </c>
      <c r="D26" s="60" t="s">
        <v>47</v>
      </c>
      <c r="E26" s="60">
        <v>0</v>
      </c>
      <c r="F26" s="60">
        <v>180</v>
      </c>
      <c r="G26" s="83">
        <v>0</v>
      </c>
      <c r="H26" s="50" t="s">
        <v>102</v>
      </c>
      <c r="I26" s="62"/>
      <c r="J26" s="60"/>
      <c r="K26" s="241"/>
      <c r="L26" s="242"/>
      <c r="M26" s="242"/>
      <c r="N26" s="243"/>
    </row>
    <row r="27" spans="1:14" x14ac:dyDescent="0.3">
      <c r="A27" s="59">
        <v>46026</v>
      </c>
      <c r="B27" s="60" t="s">
        <v>39</v>
      </c>
      <c r="C27" s="61" t="s">
        <v>45</v>
      </c>
      <c r="D27" s="60" t="s">
        <v>47</v>
      </c>
      <c r="E27" s="60">
        <v>0</v>
      </c>
      <c r="F27" s="60">
        <v>45</v>
      </c>
      <c r="G27" s="83">
        <v>0</v>
      </c>
      <c r="H27" s="50" t="s">
        <v>103</v>
      </c>
      <c r="I27" s="62"/>
      <c r="J27" s="60"/>
      <c r="K27" s="241"/>
      <c r="L27" s="242"/>
      <c r="M27" s="242"/>
      <c r="N27" s="243"/>
    </row>
    <row r="28" spans="1:14" x14ac:dyDescent="0.3">
      <c r="A28" s="59">
        <v>46026</v>
      </c>
      <c r="B28" s="60" t="s">
        <v>39</v>
      </c>
      <c r="C28" s="61" t="s">
        <v>45</v>
      </c>
      <c r="D28" s="60" t="s">
        <v>47</v>
      </c>
      <c r="E28" s="60">
        <v>0</v>
      </c>
      <c r="F28" s="60">
        <v>30</v>
      </c>
      <c r="G28" s="83">
        <v>0</v>
      </c>
      <c r="H28" s="50" t="s">
        <v>104</v>
      </c>
      <c r="I28" s="62"/>
      <c r="J28" s="60"/>
      <c r="K28" s="66"/>
      <c r="L28" s="67"/>
      <c r="M28" s="67"/>
      <c r="N28" s="68"/>
    </row>
    <row r="29" spans="1:14" x14ac:dyDescent="0.3">
      <c r="A29" s="59">
        <v>46027</v>
      </c>
      <c r="B29" s="60" t="s">
        <v>39</v>
      </c>
      <c r="C29" s="61" t="s">
        <v>27</v>
      </c>
      <c r="D29" s="60" t="s">
        <v>47</v>
      </c>
      <c r="E29" s="60">
        <v>0</v>
      </c>
      <c r="F29" s="60">
        <v>30</v>
      </c>
      <c r="G29" s="83">
        <v>0</v>
      </c>
      <c r="H29" s="50" t="s">
        <v>91</v>
      </c>
      <c r="I29" s="62"/>
      <c r="J29" s="60"/>
      <c r="K29" s="241"/>
      <c r="L29" s="242"/>
      <c r="M29" s="242"/>
      <c r="N29" s="243"/>
    </row>
    <row r="30" spans="1:14" x14ac:dyDescent="0.3">
      <c r="A30" s="59">
        <v>46027</v>
      </c>
      <c r="B30" s="60" t="s">
        <v>39</v>
      </c>
      <c r="C30" s="61" t="s">
        <v>27</v>
      </c>
      <c r="D30" s="60" t="s">
        <v>47</v>
      </c>
      <c r="E30" s="60">
        <v>0</v>
      </c>
      <c r="F30" s="60">
        <v>540</v>
      </c>
      <c r="G30" s="83">
        <v>0</v>
      </c>
      <c r="H30" s="124" t="s">
        <v>106</v>
      </c>
      <c r="I30" s="62"/>
      <c r="J30" s="60"/>
      <c r="K30" s="66"/>
      <c r="L30" s="67"/>
      <c r="M30" s="67"/>
      <c r="N30" s="68"/>
    </row>
    <row r="31" spans="1:14" x14ac:dyDescent="0.3">
      <c r="A31" s="59">
        <v>46027</v>
      </c>
      <c r="B31" s="60" t="s">
        <v>39</v>
      </c>
      <c r="C31" s="61" t="s">
        <v>45</v>
      </c>
      <c r="D31" s="60" t="s">
        <v>47</v>
      </c>
      <c r="E31" s="60">
        <v>0</v>
      </c>
      <c r="F31" s="60">
        <v>720</v>
      </c>
      <c r="G31" s="83">
        <v>0</v>
      </c>
      <c r="H31" s="124" t="s">
        <v>106</v>
      </c>
      <c r="I31" s="62"/>
      <c r="J31" s="60"/>
      <c r="K31" s="66"/>
      <c r="L31" s="67"/>
      <c r="M31" s="67"/>
      <c r="N31" s="68"/>
    </row>
    <row r="32" spans="1:14" x14ac:dyDescent="0.3">
      <c r="A32" s="59">
        <v>46028</v>
      </c>
      <c r="B32" s="60" t="s">
        <v>39</v>
      </c>
      <c r="C32" s="61" t="s">
        <v>27</v>
      </c>
      <c r="D32" s="60" t="s">
        <v>47</v>
      </c>
      <c r="E32" s="60">
        <v>0</v>
      </c>
      <c r="F32" s="60">
        <v>540</v>
      </c>
      <c r="G32" s="83">
        <v>0</v>
      </c>
      <c r="H32" s="124" t="s">
        <v>106</v>
      </c>
      <c r="I32" s="62"/>
      <c r="J32" s="60"/>
      <c r="K32" s="241"/>
      <c r="L32" s="242"/>
      <c r="M32" s="242"/>
      <c r="N32" s="243"/>
    </row>
    <row r="33" spans="1:14" x14ac:dyDescent="0.3">
      <c r="A33" s="59">
        <v>46028</v>
      </c>
      <c r="B33" s="60" t="s">
        <v>39</v>
      </c>
      <c r="C33" s="61" t="s">
        <v>45</v>
      </c>
      <c r="D33" s="60" t="s">
        <v>47</v>
      </c>
      <c r="E33" s="60">
        <v>0</v>
      </c>
      <c r="F33" s="60">
        <v>120</v>
      </c>
      <c r="G33" s="83">
        <v>0</v>
      </c>
      <c r="H33" s="50" t="s">
        <v>107</v>
      </c>
      <c r="I33" s="62"/>
      <c r="J33" s="60"/>
      <c r="K33" s="238"/>
      <c r="L33" s="239"/>
      <c r="M33" s="239"/>
      <c r="N33" s="240"/>
    </row>
    <row r="34" spans="1:14" x14ac:dyDescent="0.3">
      <c r="A34" s="59">
        <v>46028</v>
      </c>
      <c r="B34" s="60" t="s">
        <v>39</v>
      </c>
      <c r="C34" s="61" t="s">
        <v>45</v>
      </c>
      <c r="D34" s="60" t="s">
        <v>47</v>
      </c>
      <c r="E34" s="60">
        <v>0</v>
      </c>
      <c r="F34" s="60">
        <v>120</v>
      </c>
      <c r="G34" s="83">
        <v>0</v>
      </c>
      <c r="H34" s="50" t="s">
        <v>108</v>
      </c>
      <c r="I34" s="62"/>
      <c r="J34" s="60"/>
      <c r="K34" s="63"/>
      <c r="L34" s="64"/>
      <c r="M34" s="64"/>
      <c r="N34" s="65"/>
    </row>
    <row r="35" spans="1:14" x14ac:dyDescent="0.3">
      <c r="A35" s="59">
        <v>46029</v>
      </c>
      <c r="B35" s="60" t="s">
        <v>39</v>
      </c>
      <c r="C35" s="61" t="s">
        <v>27</v>
      </c>
      <c r="D35" s="60" t="s">
        <v>47</v>
      </c>
      <c r="E35" s="60">
        <v>0</v>
      </c>
      <c r="F35" s="60">
        <v>60</v>
      </c>
      <c r="G35" s="83">
        <v>0</v>
      </c>
      <c r="H35" s="50" t="s">
        <v>107</v>
      </c>
      <c r="I35" s="62"/>
      <c r="J35" s="60"/>
      <c r="K35" s="63"/>
      <c r="L35" s="64"/>
      <c r="M35" s="64"/>
      <c r="N35" s="65"/>
    </row>
    <row r="36" spans="1:14" x14ac:dyDescent="0.3">
      <c r="A36" s="59">
        <v>46029</v>
      </c>
      <c r="B36" s="60" t="s">
        <v>39</v>
      </c>
      <c r="C36" s="61" t="s">
        <v>27</v>
      </c>
      <c r="D36" s="60" t="s">
        <v>47</v>
      </c>
      <c r="E36" s="60">
        <v>0</v>
      </c>
      <c r="F36" s="60">
        <v>90</v>
      </c>
      <c r="G36" s="83">
        <v>0</v>
      </c>
      <c r="H36" s="124" t="s">
        <v>79</v>
      </c>
      <c r="I36" s="62"/>
      <c r="J36" s="60"/>
      <c r="K36" s="238"/>
      <c r="L36" s="239"/>
      <c r="M36" s="239"/>
      <c r="N36" s="240"/>
    </row>
    <row r="37" spans="1:14" x14ac:dyDescent="0.3">
      <c r="A37" s="59">
        <v>46029</v>
      </c>
      <c r="B37" s="60" t="s">
        <v>39</v>
      </c>
      <c r="C37" s="61" t="s">
        <v>45</v>
      </c>
      <c r="D37" s="60" t="s">
        <v>47</v>
      </c>
      <c r="E37" s="60">
        <v>0</v>
      </c>
      <c r="F37" s="60">
        <v>60</v>
      </c>
      <c r="G37" s="83">
        <v>0</v>
      </c>
      <c r="H37" s="50" t="s">
        <v>116</v>
      </c>
      <c r="I37" s="62"/>
      <c r="J37" s="60"/>
      <c r="K37" s="241"/>
      <c r="L37" s="242"/>
      <c r="M37" s="242"/>
      <c r="N37" s="243"/>
    </row>
    <row r="38" spans="1:14" x14ac:dyDescent="0.3">
      <c r="A38" s="59">
        <v>46030</v>
      </c>
      <c r="B38" s="60" t="s">
        <v>39</v>
      </c>
      <c r="C38" s="61" t="s">
        <v>27</v>
      </c>
      <c r="D38" s="60" t="s">
        <v>47</v>
      </c>
      <c r="E38" s="60">
        <v>0</v>
      </c>
      <c r="F38" s="60">
        <v>0</v>
      </c>
      <c r="G38" s="83">
        <v>165</v>
      </c>
      <c r="H38" s="50" t="s">
        <v>117</v>
      </c>
      <c r="I38" s="62"/>
      <c r="J38" s="60"/>
      <c r="K38" s="66"/>
      <c r="L38" s="67"/>
      <c r="M38" s="67"/>
      <c r="N38" s="68"/>
    </row>
    <row r="39" spans="1:14" x14ac:dyDescent="0.3">
      <c r="A39" s="59">
        <v>46030</v>
      </c>
      <c r="B39" s="60" t="s">
        <v>39</v>
      </c>
      <c r="C39" s="61" t="s">
        <v>45</v>
      </c>
      <c r="D39" s="60" t="s">
        <v>47</v>
      </c>
      <c r="E39" s="60">
        <v>0</v>
      </c>
      <c r="F39" s="60">
        <v>720</v>
      </c>
      <c r="G39" s="83">
        <v>0</v>
      </c>
      <c r="H39" s="124" t="s">
        <v>118</v>
      </c>
      <c r="I39" s="62"/>
      <c r="J39" s="60"/>
      <c r="K39" s="66"/>
      <c r="L39" s="67"/>
      <c r="M39" s="67"/>
      <c r="N39" s="68"/>
    </row>
    <row r="40" spans="1:14" x14ac:dyDescent="0.3">
      <c r="A40" s="59">
        <v>46031</v>
      </c>
      <c r="B40" s="60" t="s">
        <v>39</v>
      </c>
      <c r="C40" s="61" t="s">
        <v>27</v>
      </c>
      <c r="D40" s="60" t="s">
        <v>47</v>
      </c>
      <c r="E40" s="60">
        <v>0</v>
      </c>
      <c r="F40" s="60">
        <v>720</v>
      </c>
      <c r="G40" s="83">
        <v>0</v>
      </c>
      <c r="H40" s="124" t="s">
        <v>118</v>
      </c>
      <c r="I40" s="62"/>
      <c r="J40" s="60"/>
      <c r="K40" s="241"/>
      <c r="L40" s="242"/>
      <c r="M40" s="242"/>
      <c r="N40" s="243"/>
    </row>
    <row r="41" spans="1:14" x14ac:dyDescent="0.3">
      <c r="A41" s="59">
        <v>46031</v>
      </c>
      <c r="B41" s="60" t="s">
        <v>39</v>
      </c>
      <c r="C41" s="61" t="s">
        <v>45</v>
      </c>
      <c r="D41" s="60" t="s">
        <v>47</v>
      </c>
      <c r="E41" s="60">
        <v>0</v>
      </c>
      <c r="F41" s="60">
        <v>0</v>
      </c>
      <c r="G41" s="83">
        <v>90</v>
      </c>
      <c r="H41" s="50" t="s">
        <v>121</v>
      </c>
      <c r="I41" s="62"/>
      <c r="J41" s="60"/>
      <c r="K41" s="241"/>
      <c r="L41" s="242"/>
      <c r="M41" s="242"/>
      <c r="N41" s="243"/>
    </row>
    <row r="42" spans="1:14" x14ac:dyDescent="0.3">
      <c r="A42" s="59">
        <v>46031</v>
      </c>
      <c r="B42" s="60" t="s">
        <v>39</v>
      </c>
      <c r="C42" s="61" t="s">
        <v>45</v>
      </c>
      <c r="D42" s="60" t="s">
        <v>47</v>
      </c>
      <c r="E42" s="60">
        <v>0</v>
      </c>
      <c r="F42" s="60">
        <v>30</v>
      </c>
      <c r="G42" s="83">
        <v>0</v>
      </c>
      <c r="H42" s="50" t="s">
        <v>122</v>
      </c>
      <c r="I42" s="62"/>
      <c r="J42" s="60"/>
      <c r="K42" s="241"/>
      <c r="L42" s="242"/>
      <c r="M42" s="242"/>
      <c r="N42" s="243"/>
    </row>
    <row r="43" spans="1:14" x14ac:dyDescent="0.3">
      <c r="A43" s="59">
        <v>46032</v>
      </c>
      <c r="B43" s="60" t="s">
        <v>39</v>
      </c>
      <c r="C43" s="61" t="s">
        <v>27</v>
      </c>
      <c r="D43" s="60" t="s">
        <v>47</v>
      </c>
      <c r="E43" s="60">
        <v>0</v>
      </c>
      <c r="F43" s="60">
        <v>45</v>
      </c>
      <c r="G43" s="83">
        <v>0</v>
      </c>
      <c r="H43" s="50" t="s">
        <v>91</v>
      </c>
      <c r="I43" s="62"/>
      <c r="J43" s="60"/>
      <c r="K43" s="241"/>
      <c r="L43" s="242"/>
      <c r="M43" s="242"/>
      <c r="N43" s="243"/>
    </row>
    <row r="44" spans="1:14" x14ac:dyDescent="0.3">
      <c r="A44" s="59">
        <v>46032</v>
      </c>
      <c r="B44" s="60" t="s">
        <v>39</v>
      </c>
      <c r="C44" s="61" t="s">
        <v>27</v>
      </c>
      <c r="D44" s="60" t="s">
        <v>47</v>
      </c>
      <c r="E44" s="60">
        <v>0</v>
      </c>
      <c r="F44" s="60">
        <v>0</v>
      </c>
      <c r="G44" s="83">
        <v>345</v>
      </c>
      <c r="H44" s="69" t="s">
        <v>123</v>
      </c>
      <c r="I44" s="69" t="s">
        <v>34</v>
      </c>
      <c r="J44" s="60">
        <v>20076</v>
      </c>
      <c r="K44" s="241"/>
      <c r="L44" s="242"/>
      <c r="M44" s="242"/>
      <c r="N44" s="243"/>
    </row>
    <row r="45" spans="1:14" x14ac:dyDescent="0.3">
      <c r="A45" s="59">
        <v>46032</v>
      </c>
      <c r="B45" s="60" t="s">
        <v>39</v>
      </c>
      <c r="C45" s="61" t="s">
        <v>27</v>
      </c>
      <c r="D45" s="60" t="s">
        <v>47</v>
      </c>
      <c r="E45" s="60">
        <v>0</v>
      </c>
      <c r="F45" s="60">
        <v>120</v>
      </c>
      <c r="G45" s="83">
        <v>0</v>
      </c>
      <c r="H45" s="50" t="s">
        <v>124</v>
      </c>
      <c r="I45" s="69"/>
      <c r="J45" s="60"/>
      <c r="K45" s="241"/>
      <c r="L45" s="242"/>
      <c r="M45" s="242"/>
      <c r="N45" s="243"/>
    </row>
    <row r="46" spans="1:14" x14ac:dyDescent="0.3">
      <c r="A46" s="59">
        <v>46032</v>
      </c>
      <c r="B46" s="60" t="s">
        <v>39</v>
      </c>
      <c r="C46" s="61" t="s">
        <v>45</v>
      </c>
      <c r="D46" s="60" t="s">
        <v>47</v>
      </c>
      <c r="E46" s="60">
        <v>0</v>
      </c>
      <c r="F46" s="60">
        <v>0</v>
      </c>
      <c r="G46" s="83">
        <v>120</v>
      </c>
      <c r="H46" s="50" t="s">
        <v>123</v>
      </c>
      <c r="I46" s="69" t="s">
        <v>34</v>
      </c>
      <c r="J46" s="60">
        <v>20076</v>
      </c>
      <c r="K46" s="66"/>
      <c r="L46" s="67"/>
      <c r="M46" s="67"/>
      <c r="N46" s="68"/>
    </row>
    <row r="47" spans="1:14" x14ac:dyDescent="0.3">
      <c r="A47" s="59">
        <v>46032</v>
      </c>
      <c r="B47" s="60" t="s">
        <v>39</v>
      </c>
      <c r="C47" s="61" t="s">
        <v>45</v>
      </c>
      <c r="D47" s="60" t="s">
        <v>47</v>
      </c>
      <c r="E47" s="60">
        <v>0</v>
      </c>
      <c r="F47" s="60">
        <v>75</v>
      </c>
      <c r="G47" s="83">
        <v>0</v>
      </c>
      <c r="H47" s="50" t="s">
        <v>125</v>
      </c>
      <c r="I47" s="62"/>
      <c r="J47" s="60"/>
      <c r="K47" s="238"/>
      <c r="L47" s="239"/>
      <c r="M47" s="239"/>
      <c r="N47" s="240"/>
    </row>
    <row r="48" spans="1:14" x14ac:dyDescent="0.3">
      <c r="A48" s="59">
        <v>46033</v>
      </c>
      <c r="B48" s="60" t="s">
        <v>39</v>
      </c>
      <c r="C48" s="61" t="s">
        <v>27</v>
      </c>
      <c r="D48" s="60" t="s">
        <v>47</v>
      </c>
      <c r="E48" s="60">
        <v>0</v>
      </c>
      <c r="F48" s="60">
        <v>0</v>
      </c>
      <c r="G48" s="83">
        <v>0</v>
      </c>
      <c r="H48" s="69" t="s">
        <v>89</v>
      </c>
      <c r="I48" s="62"/>
      <c r="J48" s="60"/>
      <c r="K48" s="238"/>
      <c r="L48" s="239"/>
      <c r="M48" s="239"/>
      <c r="N48" s="240"/>
    </row>
    <row r="49" spans="1:14" x14ac:dyDescent="0.3">
      <c r="A49" s="59">
        <v>46033</v>
      </c>
      <c r="B49" s="60" t="s">
        <v>39</v>
      </c>
      <c r="C49" s="61" t="s">
        <v>45</v>
      </c>
      <c r="D49" s="60" t="s">
        <v>47</v>
      </c>
      <c r="E49" s="60">
        <v>0</v>
      </c>
      <c r="F49" s="60">
        <v>180</v>
      </c>
      <c r="G49" s="83">
        <v>0</v>
      </c>
      <c r="H49" s="124" t="s">
        <v>79</v>
      </c>
      <c r="I49" s="62"/>
      <c r="J49" s="60"/>
      <c r="K49" s="238"/>
      <c r="L49" s="239"/>
      <c r="M49" s="239"/>
      <c r="N49" s="240"/>
    </row>
    <row r="50" spans="1:14" x14ac:dyDescent="0.3">
      <c r="A50" s="59">
        <v>46034</v>
      </c>
      <c r="B50" s="60" t="s">
        <v>39</v>
      </c>
      <c r="C50" s="61" t="s">
        <v>27</v>
      </c>
      <c r="D50" s="60" t="s">
        <v>48</v>
      </c>
      <c r="E50" s="60">
        <v>600</v>
      </c>
      <c r="F50" s="60">
        <v>0</v>
      </c>
      <c r="G50" s="83">
        <v>0</v>
      </c>
      <c r="H50" s="50" t="s">
        <v>151</v>
      </c>
      <c r="I50" s="62"/>
      <c r="J50" s="60"/>
      <c r="K50" s="238"/>
      <c r="L50" s="239"/>
      <c r="M50" s="239"/>
      <c r="N50" s="240"/>
    </row>
    <row r="51" spans="1:14" x14ac:dyDescent="0.3">
      <c r="A51" s="59">
        <v>46034</v>
      </c>
      <c r="B51" s="60" t="s">
        <v>39</v>
      </c>
      <c r="C51" s="61" t="s">
        <v>27</v>
      </c>
      <c r="D51" s="60" t="s">
        <v>48</v>
      </c>
      <c r="E51" s="60">
        <v>120</v>
      </c>
      <c r="F51" s="60">
        <v>0</v>
      </c>
      <c r="G51" s="83">
        <v>0</v>
      </c>
      <c r="H51" s="50" t="s">
        <v>150</v>
      </c>
      <c r="I51" s="62" t="s">
        <v>51</v>
      </c>
      <c r="J51" s="60">
        <v>20077</v>
      </c>
      <c r="K51" s="63" t="s">
        <v>137</v>
      </c>
      <c r="L51" s="64"/>
      <c r="M51" s="64"/>
      <c r="N51" s="65"/>
    </row>
    <row r="52" spans="1:14" x14ac:dyDescent="0.3">
      <c r="A52" s="59">
        <v>46034</v>
      </c>
      <c r="B52" s="60" t="s">
        <v>39</v>
      </c>
      <c r="C52" s="61" t="s">
        <v>45</v>
      </c>
      <c r="D52" s="60" t="s">
        <v>48</v>
      </c>
      <c r="E52" s="60">
        <v>720</v>
      </c>
      <c r="F52" s="60">
        <v>0</v>
      </c>
      <c r="G52" s="83">
        <v>0</v>
      </c>
      <c r="H52" s="50" t="s">
        <v>129</v>
      </c>
      <c r="I52" s="50"/>
      <c r="J52" s="60"/>
      <c r="K52" s="66"/>
      <c r="L52" s="67"/>
      <c r="M52" s="67"/>
      <c r="N52" s="68"/>
    </row>
    <row r="53" spans="1:14" x14ac:dyDescent="0.3">
      <c r="A53" s="59">
        <v>46035</v>
      </c>
      <c r="B53" s="60" t="s">
        <v>39</v>
      </c>
      <c r="C53" s="61" t="s">
        <v>27</v>
      </c>
      <c r="D53" s="60" t="s">
        <v>48</v>
      </c>
      <c r="E53" s="60">
        <v>300</v>
      </c>
      <c r="F53" s="60">
        <v>0</v>
      </c>
      <c r="G53" s="83">
        <v>0</v>
      </c>
      <c r="H53" s="50" t="s">
        <v>152</v>
      </c>
      <c r="I53" s="62"/>
      <c r="J53" s="60"/>
      <c r="K53" s="238"/>
      <c r="L53" s="239"/>
      <c r="M53" s="239"/>
      <c r="N53" s="240"/>
    </row>
    <row r="54" spans="1:14" x14ac:dyDescent="0.3">
      <c r="A54" s="59">
        <v>46035</v>
      </c>
      <c r="B54" s="60" t="s">
        <v>39</v>
      </c>
      <c r="C54" s="61" t="s">
        <v>27</v>
      </c>
      <c r="D54" s="60" t="s">
        <v>48</v>
      </c>
      <c r="E54" s="60">
        <v>400</v>
      </c>
      <c r="F54" s="60">
        <v>0</v>
      </c>
      <c r="G54" s="83">
        <v>0</v>
      </c>
      <c r="H54" s="50" t="s">
        <v>138</v>
      </c>
      <c r="I54" s="62" t="s">
        <v>51</v>
      </c>
      <c r="J54" s="60">
        <v>20079</v>
      </c>
      <c r="K54" s="63" t="s">
        <v>137</v>
      </c>
      <c r="L54" s="64"/>
      <c r="M54" s="64"/>
      <c r="N54" s="65"/>
    </row>
    <row r="55" spans="1:14" ht="28.8" x14ac:dyDescent="0.3">
      <c r="A55" s="59">
        <v>46035</v>
      </c>
      <c r="B55" s="60" t="s">
        <v>39</v>
      </c>
      <c r="C55" s="61" t="s">
        <v>27</v>
      </c>
      <c r="D55" s="60" t="s">
        <v>48</v>
      </c>
      <c r="E55" s="60">
        <v>120</v>
      </c>
      <c r="F55" s="60">
        <v>0</v>
      </c>
      <c r="G55" s="83">
        <v>0</v>
      </c>
      <c r="H55" s="69" t="s">
        <v>134</v>
      </c>
      <c r="I55" s="50" t="s">
        <v>135</v>
      </c>
      <c r="J55" s="60">
        <v>20078</v>
      </c>
      <c r="K55" s="63" t="s">
        <v>136</v>
      </c>
      <c r="L55" s="64"/>
      <c r="M55" s="64"/>
      <c r="N55" s="65"/>
    </row>
    <row r="56" spans="1:14" x14ac:dyDescent="0.3">
      <c r="A56" s="59">
        <v>46035</v>
      </c>
      <c r="B56" s="60" t="s">
        <v>39</v>
      </c>
      <c r="C56" s="61" t="s">
        <v>45</v>
      </c>
      <c r="D56" s="60" t="s">
        <v>48</v>
      </c>
      <c r="E56" s="60">
        <v>0</v>
      </c>
      <c r="F56" s="60">
        <v>0</v>
      </c>
      <c r="G56" s="83">
        <v>0</v>
      </c>
      <c r="H56" s="50" t="s">
        <v>82</v>
      </c>
      <c r="I56" s="50"/>
      <c r="J56" s="60"/>
      <c r="K56" s="66"/>
      <c r="L56" s="67"/>
      <c r="M56" s="67"/>
      <c r="N56" s="68"/>
    </row>
    <row r="57" spans="1:14" x14ac:dyDescent="0.3">
      <c r="A57" s="59">
        <v>46036</v>
      </c>
      <c r="B57" s="60" t="s">
        <v>39</v>
      </c>
      <c r="C57" s="61" t="s">
        <v>27</v>
      </c>
      <c r="D57" s="60" t="s">
        <v>48</v>
      </c>
      <c r="E57" s="60">
        <v>0</v>
      </c>
      <c r="F57" s="60">
        <v>0</v>
      </c>
      <c r="G57" s="83">
        <v>0</v>
      </c>
      <c r="H57" s="50" t="s">
        <v>165</v>
      </c>
      <c r="I57" s="50"/>
      <c r="J57" s="60"/>
      <c r="K57" s="238"/>
      <c r="L57" s="239"/>
      <c r="M57" s="239"/>
      <c r="N57" s="240"/>
    </row>
    <row r="58" spans="1:14" x14ac:dyDescent="0.3">
      <c r="A58" s="59">
        <v>46036</v>
      </c>
      <c r="B58" s="60" t="s">
        <v>39</v>
      </c>
      <c r="C58" s="61" t="s">
        <v>45</v>
      </c>
      <c r="D58" s="60" t="s">
        <v>48</v>
      </c>
      <c r="E58" s="60">
        <v>0</v>
      </c>
      <c r="F58" s="60">
        <v>0</v>
      </c>
      <c r="G58" s="83">
        <v>0</v>
      </c>
      <c r="H58" s="50" t="s">
        <v>165</v>
      </c>
      <c r="I58" s="62"/>
      <c r="J58" s="60"/>
      <c r="K58" s="63"/>
      <c r="L58" s="64"/>
      <c r="M58" s="64"/>
      <c r="N58" s="65"/>
    </row>
    <row r="59" spans="1:14" x14ac:dyDescent="0.3">
      <c r="A59" s="59">
        <v>46037</v>
      </c>
      <c r="B59" s="60" t="s">
        <v>39</v>
      </c>
      <c r="C59" s="61" t="s">
        <v>27</v>
      </c>
      <c r="D59" s="60" t="s">
        <v>48</v>
      </c>
      <c r="E59" s="60">
        <v>0</v>
      </c>
      <c r="F59" s="60">
        <v>0</v>
      </c>
      <c r="G59" s="83">
        <v>0</v>
      </c>
      <c r="H59" s="50" t="s">
        <v>165</v>
      </c>
      <c r="I59" s="62"/>
      <c r="J59" s="60"/>
      <c r="K59" s="63"/>
      <c r="L59" s="64"/>
      <c r="M59" s="64"/>
      <c r="N59" s="65"/>
    </row>
    <row r="60" spans="1:14" x14ac:dyDescent="0.3">
      <c r="A60" s="59">
        <v>46037</v>
      </c>
      <c r="B60" s="60" t="s">
        <v>39</v>
      </c>
      <c r="C60" s="61" t="s">
        <v>45</v>
      </c>
      <c r="D60" s="60" t="s">
        <v>48</v>
      </c>
      <c r="E60" s="60">
        <v>0</v>
      </c>
      <c r="F60" s="60">
        <v>0</v>
      </c>
      <c r="G60" s="83">
        <v>0</v>
      </c>
      <c r="H60" s="50" t="s">
        <v>165</v>
      </c>
      <c r="I60" s="62"/>
      <c r="J60" s="60"/>
      <c r="K60" s="63"/>
      <c r="L60" s="64"/>
      <c r="M60" s="64"/>
      <c r="N60" s="65"/>
    </row>
    <row r="61" spans="1:14" x14ac:dyDescent="0.3">
      <c r="A61" s="59">
        <v>46038</v>
      </c>
      <c r="B61" s="60" t="s">
        <v>39</v>
      </c>
      <c r="C61" s="61" t="s">
        <v>27</v>
      </c>
      <c r="D61" s="60" t="s">
        <v>48</v>
      </c>
      <c r="E61" s="60">
        <v>0</v>
      </c>
      <c r="F61" s="60">
        <v>0</v>
      </c>
      <c r="G61" s="83">
        <v>0</v>
      </c>
      <c r="H61" s="50" t="s">
        <v>165</v>
      </c>
      <c r="I61" s="62"/>
      <c r="J61" s="60"/>
      <c r="K61" s="238"/>
      <c r="L61" s="239"/>
      <c r="M61" s="239"/>
      <c r="N61" s="240"/>
    </row>
    <row r="62" spans="1:14" x14ac:dyDescent="0.3">
      <c r="A62" s="59">
        <v>46038</v>
      </c>
      <c r="B62" s="60" t="s">
        <v>39</v>
      </c>
      <c r="C62" s="61" t="s">
        <v>45</v>
      </c>
      <c r="D62" s="60" t="s">
        <v>48</v>
      </c>
      <c r="E62" s="60">
        <v>0</v>
      </c>
      <c r="F62" s="60">
        <v>0</v>
      </c>
      <c r="G62" s="83">
        <v>0</v>
      </c>
      <c r="H62" s="50" t="s">
        <v>165</v>
      </c>
      <c r="I62" s="62"/>
      <c r="J62" s="60"/>
      <c r="K62" s="63"/>
      <c r="L62" s="67"/>
      <c r="M62" s="67"/>
      <c r="N62" s="68"/>
    </row>
    <row r="63" spans="1:14" x14ac:dyDescent="0.3">
      <c r="A63" s="59">
        <v>46039</v>
      </c>
      <c r="B63" s="60" t="s">
        <v>39</v>
      </c>
      <c r="C63" s="61" t="s">
        <v>27</v>
      </c>
      <c r="D63" s="60" t="s">
        <v>48</v>
      </c>
      <c r="E63" s="60">
        <v>0</v>
      </c>
      <c r="F63" s="60">
        <v>0</v>
      </c>
      <c r="G63" s="83">
        <v>0</v>
      </c>
      <c r="H63" s="50" t="s">
        <v>165</v>
      </c>
      <c r="I63" s="50"/>
      <c r="J63" s="60"/>
      <c r="K63" s="241"/>
      <c r="L63" s="242"/>
      <c r="M63" s="242"/>
      <c r="N63" s="243"/>
    </row>
    <row r="64" spans="1:14" x14ac:dyDescent="0.3">
      <c r="A64" s="59">
        <v>46039</v>
      </c>
      <c r="B64" s="60" t="s">
        <v>39</v>
      </c>
      <c r="C64" s="61" t="s">
        <v>45</v>
      </c>
      <c r="D64" s="60" t="s">
        <v>48</v>
      </c>
      <c r="E64" s="60">
        <v>0</v>
      </c>
      <c r="F64" s="60">
        <v>0</v>
      </c>
      <c r="G64" s="83">
        <v>0</v>
      </c>
      <c r="H64" s="50" t="s">
        <v>165</v>
      </c>
      <c r="I64" s="62"/>
      <c r="J64" s="60"/>
      <c r="K64" s="66"/>
      <c r="L64" s="67"/>
      <c r="M64" s="67"/>
      <c r="N64" s="68"/>
    </row>
    <row r="65" spans="1:14" x14ac:dyDescent="0.3">
      <c r="A65" s="59">
        <v>46040</v>
      </c>
      <c r="B65" s="60" t="s">
        <v>39</v>
      </c>
      <c r="C65" s="61" t="s">
        <v>27</v>
      </c>
      <c r="D65" s="60" t="s">
        <v>48</v>
      </c>
      <c r="E65" s="60">
        <v>0</v>
      </c>
      <c r="F65" s="60">
        <v>0</v>
      </c>
      <c r="G65" s="83">
        <v>0</v>
      </c>
      <c r="H65" s="50" t="s">
        <v>165</v>
      </c>
      <c r="I65" s="50"/>
      <c r="J65" s="60"/>
      <c r="K65" s="238"/>
      <c r="L65" s="239"/>
      <c r="M65" s="239"/>
      <c r="N65" s="240"/>
    </row>
    <row r="66" spans="1:14" x14ac:dyDescent="0.3">
      <c r="A66" s="59">
        <v>46040</v>
      </c>
      <c r="B66" s="60" t="s">
        <v>39</v>
      </c>
      <c r="C66" s="61" t="s">
        <v>45</v>
      </c>
      <c r="D66" s="60" t="s">
        <v>48</v>
      </c>
      <c r="E66" s="60">
        <v>0</v>
      </c>
      <c r="F66" s="60">
        <v>0</v>
      </c>
      <c r="G66" s="83">
        <v>0</v>
      </c>
      <c r="H66" s="50" t="s">
        <v>165</v>
      </c>
      <c r="I66" s="62"/>
      <c r="J66" s="60"/>
      <c r="K66" s="238"/>
      <c r="L66" s="239"/>
      <c r="M66" s="239"/>
      <c r="N66" s="240"/>
    </row>
    <row r="67" spans="1:14" x14ac:dyDescent="0.3">
      <c r="A67" s="59">
        <v>46041</v>
      </c>
      <c r="B67" s="60" t="s">
        <v>39</v>
      </c>
      <c r="C67" s="61" t="s">
        <v>27</v>
      </c>
      <c r="D67" s="60" t="s">
        <v>48</v>
      </c>
      <c r="E67" s="60">
        <v>0</v>
      </c>
      <c r="F67" s="60">
        <v>0</v>
      </c>
      <c r="G67" s="83">
        <v>0</v>
      </c>
      <c r="H67" s="50" t="s">
        <v>165</v>
      </c>
      <c r="I67" s="62"/>
      <c r="J67" s="60"/>
      <c r="K67" s="238"/>
      <c r="L67" s="239"/>
      <c r="M67" s="239"/>
      <c r="N67" s="240"/>
    </row>
    <row r="68" spans="1:14" x14ac:dyDescent="0.3">
      <c r="A68" s="59">
        <v>46041</v>
      </c>
      <c r="B68" s="60" t="s">
        <v>39</v>
      </c>
      <c r="C68" s="61" t="s">
        <v>45</v>
      </c>
      <c r="D68" s="60" t="s">
        <v>48</v>
      </c>
      <c r="E68" s="60">
        <v>0</v>
      </c>
      <c r="F68" s="60">
        <v>0</v>
      </c>
      <c r="G68" s="83">
        <v>0</v>
      </c>
      <c r="H68" s="50" t="s">
        <v>165</v>
      </c>
      <c r="I68" s="62"/>
      <c r="J68" s="60"/>
      <c r="K68" s="238"/>
      <c r="L68" s="239"/>
      <c r="M68" s="239"/>
      <c r="N68" s="240"/>
    </row>
    <row r="69" spans="1:14" x14ac:dyDescent="0.3">
      <c r="A69" s="59">
        <v>46042</v>
      </c>
      <c r="B69" s="60" t="s">
        <v>39</v>
      </c>
      <c r="C69" s="61" t="s">
        <v>27</v>
      </c>
      <c r="D69" s="60" t="s">
        <v>48</v>
      </c>
      <c r="E69" s="60">
        <v>0</v>
      </c>
      <c r="F69" s="60">
        <v>0</v>
      </c>
      <c r="G69" s="83">
        <v>0</v>
      </c>
      <c r="H69" s="50" t="s">
        <v>165</v>
      </c>
      <c r="I69" s="50"/>
      <c r="J69" s="60"/>
      <c r="K69" s="66"/>
      <c r="L69" s="67"/>
      <c r="M69" s="67"/>
      <c r="N69" s="68"/>
    </row>
    <row r="70" spans="1:14" x14ac:dyDescent="0.3">
      <c r="A70" s="59">
        <v>46042</v>
      </c>
      <c r="B70" s="60" t="s">
        <v>39</v>
      </c>
      <c r="C70" s="61" t="s">
        <v>45</v>
      </c>
      <c r="D70" s="60" t="s">
        <v>48</v>
      </c>
      <c r="E70" s="60">
        <v>0</v>
      </c>
      <c r="F70" s="60">
        <v>0</v>
      </c>
      <c r="G70" s="83">
        <v>0</v>
      </c>
      <c r="H70" s="50" t="s">
        <v>165</v>
      </c>
      <c r="I70" s="62"/>
      <c r="J70" s="60"/>
      <c r="K70" s="241"/>
      <c r="L70" s="242"/>
      <c r="M70" s="242"/>
      <c r="N70" s="243"/>
    </row>
    <row r="71" spans="1:14" x14ac:dyDescent="0.3">
      <c r="A71" s="59">
        <v>46043</v>
      </c>
      <c r="B71" s="60" t="s">
        <v>39</v>
      </c>
      <c r="C71" s="61" t="s">
        <v>27</v>
      </c>
      <c r="D71" s="60" t="s">
        <v>48</v>
      </c>
      <c r="E71" s="60">
        <v>0</v>
      </c>
      <c r="F71" s="60">
        <v>0</v>
      </c>
      <c r="G71" s="83">
        <v>0</v>
      </c>
      <c r="H71" s="50" t="s">
        <v>165</v>
      </c>
      <c r="I71" s="50"/>
      <c r="J71" s="60"/>
      <c r="K71" s="241"/>
      <c r="L71" s="242"/>
      <c r="M71" s="242"/>
      <c r="N71" s="243"/>
    </row>
    <row r="72" spans="1:14" x14ac:dyDescent="0.3">
      <c r="A72" s="59">
        <v>46043</v>
      </c>
      <c r="B72" s="60" t="s">
        <v>39</v>
      </c>
      <c r="C72" s="61" t="s">
        <v>45</v>
      </c>
      <c r="D72" s="60" t="s">
        <v>48</v>
      </c>
      <c r="E72" s="60">
        <v>0</v>
      </c>
      <c r="F72" s="60">
        <v>0</v>
      </c>
      <c r="G72" s="83">
        <v>0</v>
      </c>
      <c r="H72" s="50" t="s">
        <v>165</v>
      </c>
      <c r="I72" s="50"/>
      <c r="J72" s="60"/>
      <c r="K72" s="241"/>
      <c r="L72" s="242"/>
      <c r="M72" s="242"/>
      <c r="N72" s="243"/>
    </row>
    <row r="73" spans="1:14" x14ac:dyDescent="0.3">
      <c r="A73" s="59">
        <v>46044</v>
      </c>
      <c r="B73" s="60" t="s">
        <v>39</v>
      </c>
      <c r="C73" s="61" t="s">
        <v>27</v>
      </c>
      <c r="D73" s="60" t="s">
        <v>48</v>
      </c>
      <c r="E73" s="60">
        <v>0</v>
      </c>
      <c r="F73" s="60">
        <v>0</v>
      </c>
      <c r="G73" s="83">
        <v>0</v>
      </c>
      <c r="H73" s="50" t="s">
        <v>165</v>
      </c>
      <c r="I73" s="50"/>
      <c r="J73" s="60"/>
      <c r="K73" s="66"/>
      <c r="L73" s="67"/>
      <c r="M73" s="67"/>
      <c r="N73" s="68"/>
    </row>
    <row r="74" spans="1:14" x14ac:dyDescent="0.3">
      <c r="A74" s="59">
        <v>46044</v>
      </c>
      <c r="B74" s="60" t="s">
        <v>39</v>
      </c>
      <c r="C74" s="61" t="s">
        <v>45</v>
      </c>
      <c r="D74" s="60" t="s">
        <v>48</v>
      </c>
      <c r="E74" s="60">
        <v>0</v>
      </c>
      <c r="F74" s="60">
        <v>0</v>
      </c>
      <c r="G74" s="83">
        <v>0</v>
      </c>
      <c r="H74" s="50" t="s">
        <v>165</v>
      </c>
      <c r="I74" s="50"/>
      <c r="J74" s="60"/>
      <c r="K74" s="66"/>
      <c r="L74" s="67"/>
      <c r="M74" s="67"/>
      <c r="N74" s="68"/>
    </row>
    <row r="75" spans="1:14" x14ac:dyDescent="0.3">
      <c r="A75" s="59">
        <v>46045</v>
      </c>
      <c r="B75" s="60" t="s">
        <v>39</v>
      </c>
      <c r="C75" s="61" t="s">
        <v>27</v>
      </c>
      <c r="D75" s="60" t="s">
        <v>48</v>
      </c>
      <c r="E75" s="60">
        <v>0</v>
      </c>
      <c r="F75" s="60">
        <v>0</v>
      </c>
      <c r="G75" s="83">
        <v>0</v>
      </c>
      <c r="H75" s="50" t="s">
        <v>165</v>
      </c>
      <c r="I75" s="50"/>
      <c r="J75" s="60"/>
      <c r="K75" s="241"/>
      <c r="L75" s="242"/>
      <c r="M75" s="242"/>
      <c r="N75" s="243"/>
    </row>
    <row r="76" spans="1:14" x14ac:dyDescent="0.3">
      <c r="A76" s="59">
        <v>46045</v>
      </c>
      <c r="B76" s="60" t="s">
        <v>39</v>
      </c>
      <c r="C76" s="61" t="s">
        <v>45</v>
      </c>
      <c r="D76" s="60" t="s">
        <v>48</v>
      </c>
      <c r="E76" s="60">
        <v>0</v>
      </c>
      <c r="F76" s="60">
        <v>0</v>
      </c>
      <c r="G76" s="83">
        <v>0</v>
      </c>
      <c r="H76" s="50" t="s">
        <v>165</v>
      </c>
      <c r="I76" s="62"/>
      <c r="J76" s="60"/>
      <c r="K76" s="66"/>
      <c r="L76" s="67"/>
      <c r="M76" s="67"/>
      <c r="N76" s="68"/>
    </row>
    <row r="77" spans="1:14" x14ac:dyDescent="0.3">
      <c r="A77" s="59">
        <v>46046</v>
      </c>
      <c r="B77" s="60" t="s">
        <v>39</v>
      </c>
      <c r="C77" s="61" t="s">
        <v>27</v>
      </c>
      <c r="D77" s="60" t="s">
        <v>48</v>
      </c>
      <c r="E77" s="60">
        <v>0</v>
      </c>
      <c r="F77" s="60">
        <v>0</v>
      </c>
      <c r="G77" s="83">
        <v>0</v>
      </c>
      <c r="H77" s="50" t="s">
        <v>165</v>
      </c>
      <c r="I77" s="50"/>
      <c r="J77" s="60"/>
      <c r="K77" s="238"/>
      <c r="L77" s="239"/>
      <c r="M77" s="239"/>
      <c r="N77" s="240"/>
    </row>
    <row r="78" spans="1:14" x14ac:dyDescent="0.3">
      <c r="A78" s="59">
        <v>46046</v>
      </c>
      <c r="B78" s="60" t="s">
        <v>39</v>
      </c>
      <c r="C78" s="61" t="s">
        <v>45</v>
      </c>
      <c r="D78" s="60" t="s">
        <v>48</v>
      </c>
      <c r="E78" s="60">
        <v>0</v>
      </c>
      <c r="F78" s="60">
        <v>0</v>
      </c>
      <c r="G78" s="83">
        <v>0</v>
      </c>
      <c r="H78" s="50" t="s">
        <v>165</v>
      </c>
      <c r="I78" s="50"/>
      <c r="J78" s="60"/>
      <c r="K78" s="241"/>
      <c r="L78" s="242"/>
      <c r="M78" s="242"/>
      <c r="N78" s="243"/>
    </row>
    <row r="79" spans="1:14" x14ac:dyDescent="0.3">
      <c r="A79" s="59">
        <v>46047</v>
      </c>
      <c r="B79" s="60" t="s">
        <v>39</v>
      </c>
      <c r="C79" s="61" t="s">
        <v>27</v>
      </c>
      <c r="D79" s="60" t="s">
        <v>48</v>
      </c>
      <c r="E79" s="60">
        <v>0</v>
      </c>
      <c r="F79" s="60">
        <v>0</v>
      </c>
      <c r="G79" s="83">
        <v>0</v>
      </c>
      <c r="H79" s="50" t="s">
        <v>165</v>
      </c>
      <c r="I79" s="50"/>
      <c r="J79" s="60"/>
      <c r="K79" s="66"/>
      <c r="L79" s="67"/>
      <c r="M79" s="67"/>
      <c r="N79" s="68"/>
    </row>
    <row r="80" spans="1:14" x14ac:dyDescent="0.3">
      <c r="A80" s="59">
        <v>46047</v>
      </c>
      <c r="B80" s="60" t="s">
        <v>39</v>
      </c>
      <c r="C80" s="61" t="s">
        <v>45</v>
      </c>
      <c r="D80" s="60" t="s">
        <v>48</v>
      </c>
      <c r="E80" s="60">
        <v>0</v>
      </c>
      <c r="F80" s="60">
        <v>0</v>
      </c>
      <c r="G80" s="83">
        <v>0</v>
      </c>
      <c r="H80" s="50" t="s">
        <v>165</v>
      </c>
      <c r="I80" s="50"/>
      <c r="J80" s="60"/>
      <c r="K80" s="66"/>
      <c r="L80" s="67"/>
      <c r="M80" s="67"/>
      <c r="N80" s="68"/>
    </row>
    <row r="81" spans="1:14" x14ac:dyDescent="0.3">
      <c r="A81" s="59">
        <v>46048</v>
      </c>
      <c r="B81" s="60" t="s">
        <v>39</v>
      </c>
      <c r="C81" s="61" t="s">
        <v>27</v>
      </c>
      <c r="D81" s="60" t="s">
        <v>48</v>
      </c>
      <c r="E81" s="60">
        <v>0</v>
      </c>
      <c r="F81" s="60">
        <v>0</v>
      </c>
      <c r="G81" s="83">
        <v>0</v>
      </c>
      <c r="H81" s="50" t="s">
        <v>165</v>
      </c>
      <c r="I81" s="50"/>
      <c r="J81" s="60"/>
      <c r="K81" s="63"/>
      <c r="L81" s="67"/>
      <c r="M81" s="67"/>
      <c r="N81" s="68"/>
    </row>
    <row r="82" spans="1:14" x14ac:dyDescent="0.3">
      <c r="A82" s="59">
        <v>46048</v>
      </c>
      <c r="B82" s="60" t="s">
        <v>39</v>
      </c>
      <c r="C82" s="61" t="s">
        <v>45</v>
      </c>
      <c r="D82" s="60" t="s">
        <v>48</v>
      </c>
      <c r="E82" s="60">
        <v>0</v>
      </c>
      <c r="F82" s="60">
        <v>0</v>
      </c>
      <c r="G82" s="83">
        <v>0</v>
      </c>
      <c r="H82" s="50" t="s">
        <v>165</v>
      </c>
      <c r="I82" s="50"/>
      <c r="J82" s="60"/>
      <c r="K82" s="66"/>
      <c r="L82" s="67"/>
      <c r="M82" s="67"/>
      <c r="N82" s="68"/>
    </row>
    <row r="83" spans="1:14" x14ac:dyDescent="0.3">
      <c r="A83" s="59">
        <v>46049</v>
      </c>
      <c r="B83" s="60" t="s">
        <v>39</v>
      </c>
      <c r="C83" s="61" t="s">
        <v>27</v>
      </c>
      <c r="D83" s="60" t="s">
        <v>48</v>
      </c>
      <c r="E83" s="60">
        <v>0</v>
      </c>
      <c r="F83" s="60">
        <v>0</v>
      </c>
      <c r="G83" s="83">
        <v>0</v>
      </c>
      <c r="H83" s="50" t="s">
        <v>165</v>
      </c>
      <c r="I83" s="50"/>
      <c r="J83" s="60"/>
      <c r="K83" s="238"/>
      <c r="L83" s="239"/>
      <c r="M83" s="239"/>
      <c r="N83" s="240"/>
    </row>
    <row r="84" spans="1:14" x14ac:dyDescent="0.3">
      <c r="A84" s="59">
        <v>46049</v>
      </c>
      <c r="B84" s="60" t="s">
        <v>39</v>
      </c>
      <c r="C84" s="61" t="s">
        <v>45</v>
      </c>
      <c r="D84" s="60" t="s">
        <v>48</v>
      </c>
      <c r="E84" s="60">
        <v>0</v>
      </c>
      <c r="F84" s="60">
        <v>0</v>
      </c>
      <c r="G84" s="83">
        <v>0</v>
      </c>
      <c r="H84" s="50" t="s">
        <v>165</v>
      </c>
      <c r="I84" s="50"/>
      <c r="J84" s="60"/>
      <c r="K84" s="66"/>
      <c r="L84" s="67"/>
      <c r="M84" s="67"/>
      <c r="N84" s="68"/>
    </row>
    <row r="85" spans="1:14" x14ac:dyDescent="0.3">
      <c r="A85" s="59">
        <v>46050</v>
      </c>
      <c r="B85" s="60" t="s">
        <v>39</v>
      </c>
      <c r="C85" s="61" t="s">
        <v>27</v>
      </c>
      <c r="D85" s="60" t="s">
        <v>48</v>
      </c>
      <c r="E85" s="60">
        <v>0</v>
      </c>
      <c r="F85" s="60">
        <v>0</v>
      </c>
      <c r="G85" s="83">
        <v>0</v>
      </c>
      <c r="H85" s="50" t="s">
        <v>165</v>
      </c>
      <c r="I85" s="62"/>
      <c r="J85" s="60"/>
      <c r="K85" s="238"/>
      <c r="L85" s="239"/>
      <c r="M85" s="239"/>
      <c r="N85" s="240"/>
    </row>
    <row r="86" spans="1:14" ht="15.6" x14ac:dyDescent="0.3">
      <c r="A86" s="59">
        <v>46050</v>
      </c>
      <c r="B86" s="60" t="s">
        <v>39</v>
      </c>
      <c r="C86" s="61" t="s">
        <v>45</v>
      </c>
      <c r="D86" s="60" t="s">
        <v>48</v>
      </c>
      <c r="E86" s="60">
        <v>0</v>
      </c>
      <c r="F86" s="60">
        <v>0</v>
      </c>
      <c r="G86" s="83">
        <v>0</v>
      </c>
      <c r="H86" s="50" t="s">
        <v>165</v>
      </c>
      <c r="I86" s="71"/>
      <c r="J86" s="60"/>
      <c r="K86" s="72"/>
      <c r="L86" s="73"/>
      <c r="M86" s="73"/>
      <c r="N86" s="74"/>
    </row>
    <row r="87" spans="1:14" ht="15.6" x14ac:dyDescent="0.3">
      <c r="A87" s="59">
        <v>46051</v>
      </c>
      <c r="B87" s="60" t="s">
        <v>39</v>
      </c>
      <c r="C87" s="61" t="s">
        <v>27</v>
      </c>
      <c r="D87" s="60" t="s">
        <v>48</v>
      </c>
      <c r="E87" s="60">
        <v>0</v>
      </c>
      <c r="F87" s="60">
        <v>0</v>
      </c>
      <c r="G87" s="83">
        <v>0</v>
      </c>
      <c r="H87" s="50" t="s">
        <v>165</v>
      </c>
      <c r="I87" s="71"/>
      <c r="J87" s="60"/>
      <c r="K87" s="72"/>
      <c r="L87" s="73"/>
      <c r="M87" s="73"/>
      <c r="N87" s="74"/>
    </row>
    <row r="88" spans="1:14" ht="15.6" x14ac:dyDescent="0.3">
      <c r="A88" s="59">
        <v>46051</v>
      </c>
      <c r="B88" s="60" t="s">
        <v>39</v>
      </c>
      <c r="C88" s="61" t="s">
        <v>27</v>
      </c>
      <c r="D88" s="60" t="s">
        <v>48</v>
      </c>
      <c r="E88" s="60">
        <v>0</v>
      </c>
      <c r="F88" s="60">
        <v>0</v>
      </c>
      <c r="G88" s="83">
        <v>0</v>
      </c>
      <c r="H88" s="50" t="s">
        <v>165</v>
      </c>
      <c r="I88" s="71"/>
      <c r="J88" s="60"/>
      <c r="K88" s="235"/>
      <c r="L88" s="236"/>
      <c r="M88" s="236"/>
      <c r="N88" s="237"/>
    </row>
    <row r="89" spans="1:14" ht="15.6" x14ac:dyDescent="0.3">
      <c r="A89" s="59">
        <v>46052</v>
      </c>
      <c r="B89" s="60" t="s">
        <v>39</v>
      </c>
      <c r="C89" s="61" t="s">
        <v>45</v>
      </c>
      <c r="D89" s="60" t="s">
        <v>48</v>
      </c>
      <c r="E89" s="60">
        <v>0</v>
      </c>
      <c r="F89" s="60">
        <v>0</v>
      </c>
      <c r="G89" s="83">
        <v>0</v>
      </c>
      <c r="H89" s="50" t="s">
        <v>165</v>
      </c>
      <c r="I89" s="71"/>
      <c r="J89" s="60"/>
      <c r="K89" s="72"/>
      <c r="L89" s="73"/>
      <c r="M89" s="73"/>
      <c r="N89" s="74"/>
    </row>
    <row r="90" spans="1:14" ht="15.6" x14ac:dyDescent="0.3">
      <c r="A90" s="59">
        <v>46052</v>
      </c>
      <c r="B90" s="60" t="s">
        <v>39</v>
      </c>
      <c r="C90" s="61" t="s">
        <v>45</v>
      </c>
      <c r="D90" s="60" t="s">
        <v>48</v>
      </c>
      <c r="E90" s="60">
        <v>0</v>
      </c>
      <c r="F90" s="60">
        <v>0</v>
      </c>
      <c r="G90" s="83">
        <v>0</v>
      </c>
      <c r="H90" s="50" t="s">
        <v>165</v>
      </c>
      <c r="I90" s="71"/>
      <c r="J90" s="60"/>
      <c r="K90" s="72"/>
      <c r="L90" s="73"/>
      <c r="M90" s="73"/>
      <c r="N90" s="74"/>
    </row>
    <row r="91" spans="1:14" ht="15.6" x14ac:dyDescent="0.3">
      <c r="A91" s="59">
        <v>46053</v>
      </c>
      <c r="B91" s="60" t="s">
        <v>39</v>
      </c>
      <c r="C91" s="61" t="s">
        <v>27</v>
      </c>
      <c r="D91" s="60" t="s">
        <v>48</v>
      </c>
      <c r="E91" s="60">
        <v>0</v>
      </c>
      <c r="F91" s="60">
        <v>0</v>
      </c>
      <c r="G91" s="83">
        <v>0</v>
      </c>
      <c r="H91" s="50" t="s">
        <v>165</v>
      </c>
      <c r="I91" s="71"/>
      <c r="J91" s="60"/>
      <c r="K91" s="235"/>
      <c r="L91" s="236"/>
      <c r="M91" s="236"/>
      <c r="N91" s="237"/>
    </row>
    <row r="92" spans="1:14" ht="15.6" x14ac:dyDescent="0.3">
      <c r="A92" s="59">
        <v>46053</v>
      </c>
      <c r="B92" s="60" t="s">
        <v>39</v>
      </c>
      <c r="C92" s="61" t="s">
        <v>45</v>
      </c>
      <c r="D92" s="60" t="s">
        <v>48</v>
      </c>
      <c r="E92" s="60">
        <v>0</v>
      </c>
      <c r="F92" s="60">
        <v>0</v>
      </c>
      <c r="G92" s="83">
        <v>0</v>
      </c>
      <c r="H92" s="50" t="s">
        <v>165</v>
      </c>
      <c r="I92" s="71"/>
      <c r="J92" s="60"/>
      <c r="K92" s="72"/>
      <c r="L92" s="73"/>
      <c r="M92" s="73"/>
      <c r="N92" s="74"/>
    </row>
    <row r="93" spans="1:14" s="100" customFormat="1" ht="23.4" x14ac:dyDescent="0.45">
      <c r="A93" s="259" t="s">
        <v>63</v>
      </c>
      <c r="B93" s="260"/>
      <c r="C93" s="260"/>
      <c r="D93" s="261"/>
      <c r="E93" s="98">
        <f>SUM(E16:E92)</f>
        <v>2260</v>
      </c>
      <c r="F93" s="98">
        <f>SUM(F16:F92)</f>
        <v>4560</v>
      </c>
      <c r="G93" s="102">
        <f>SUM(G16:G92)</f>
        <v>1950</v>
      </c>
      <c r="H93" s="99"/>
      <c r="I93" s="97"/>
      <c r="J93" s="98"/>
      <c r="K93" s="97"/>
      <c r="L93" s="97"/>
      <c r="M93" s="97"/>
      <c r="N93" s="97"/>
    </row>
    <row r="94" spans="1:14" x14ac:dyDescent="0.3">
      <c r="A94" s="232" t="s">
        <v>273</v>
      </c>
      <c r="B94" s="232"/>
      <c r="C94" s="232"/>
      <c r="D94" s="232"/>
      <c r="G94" s="28"/>
    </row>
    <row r="95" spans="1:14" ht="26.4" customHeight="1" x14ac:dyDescent="0.35">
      <c r="C95" s="205" t="s">
        <v>275</v>
      </c>
      <c r="D95" s="233">
        <f>E93+G93</f>
        <v>4210</v>
      </c>
      <c r="E95" s="234"/>
      <c r="F95" s="234"/>
      <c r="G95" s="234"/>
    </row>
    <row r="96" spans="1:14" ht="28.2" customHeight="1" x14ac:dyDescent="0.35">
      <c r="C96" s="205" t="s">
        <v>274</v>
      </c>
      <c r="D96" s="234">
        <f>F93</f>
        <v>4560</v>
      </c>
      <c r="E96" s="234"/>
      <c r="F96" s="234"/>
      <c r="G96" s="234"/>
    </row>
  </sheetData>
  <mergeCells count="58">
    <mergeCell ref="K29:N29"/>
    <mergeCell ref="A10:N12"/>
    <mergeCell ref="A14:N14"/>
    <mergeCell ref="K15:N15"/>
    <mergeCell ref="K16:N16"/>
    <mergeCell ref="K20:N20"/>
    <mergeCell ref="K21:N21"/>
    <mergeCell ref="K23:N23"/>
    <mergeCell ref="K24:N24"/>
    <mergeCell ref="K25:N25"/>
    <mergeCell ref="K26:N26"/>
    <mergeCell ref="K27:N27"/>
    <mergeCell ref="A4:K4"/>
    <mergeCell ref="L4:N4"/>
    <mergeCell ref="A5:K5"/>
    <mergeCell ref="A6:A7"/>
    <mergeCell ref="B6:C6"/>
    <mergeCell ref="B7:C7"/>
    <mergeCell ref="K7:K9"/>
    <mergeCell ref="A8:A9"/>
    <mergeCell ref="B8:C8"/>
    <mergeCell ref="B9:C9"/>
    <mergeCell ref="K61:N61"/>
    <mergeCell ref="K63:N63"/>
    <mergeCell ref="K47:N47"/>
    <mergeCell ref="K49:N49"/>
    <mergeCell ref="K57:N57"/>
    <mergeCell ref="K53:N53"/>
    <mergeCell ref="K50:N50"/>
    <mergeCell ref="K44:N44"/>
    <mergeCell ref="K45:N45"/>
    <mergeCell ref="K48:N48"/>
    <mergeCell ref="K32:N32"/>
    <mergeCell ref="K33:N33"/>
    <mergeCell ref="K37:N37"/>
    <mergeCell ref="K40:N40"/>
    <mergeCell ref="K41:N41"/>
    <mergeCell ref="K36:N36"/>
    <mergeCell ref="K42:N42"/>
    <mergeCell ref="K43:N43"/>
    <mergeCell ref="K66:N66"/>
    <mergeCell ref="K65:N65"/>
    <mergeCell ref="K85:N85"/>
    <mergeCell ref="K77:N77"/>
    <mergeCell ref="K78:N78"/>
    <mergeCell ref="K75:N75"/>
    <mergeCell ref="A94:D94"/>
    <mergeCell ref="D95:G95"/>
    <mergeCell ref="D96:G96"/>
    <mergeCell ref="K91:N91"/>
    <mergeCell ref="K67:N67"/>
    <mergeCell ref="K68:N68"/>
    <mergeCell ref="K70:N70"/>
    <mergeCell ref="K71:N71"/>
    <mergeCell ref="K72:N72"/>
    <mergeCell ref="K83:N83"/>
    <mergeCell ref="K88:N88"/>
    <mergeCell ref="A93:D93"/>
  </mergeCells>
  <phoneticPr fontId="11" type="noConversion"/>
  <dataValidations count="1">
    <dataValidation type="list" allowBlank="1" showInputMessage="1" showErrorMessage="1" sqref="B16:D92 I66:I68 I70 I76 I53:I55 I16:I18 I20:I51 I58:I62 I64 I85:I92" xr:uid="{00000000-0002-0000-0100-000000000000}">
      <formula1>#REF!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3"/>
  <sheetViews>
    <sheetView topLeftCell="B73" zoomScale="112" workbookViewId="0">
      <selection activeCell="B81" sqref="B81:D83"/>
    </sheetView>
  </sheetViews>
  <sheetFormatPr defaultRowHeight="14.4" x14ac:dyDescent="0.3"/>
  <cols>
    <col min="1" max="1" width="12.5546875" customWidth="1"/>
    <col min="2" max="2" width="10" customWidth="1"/>
    <col min="3" max="3" width="13.109375" customWidth="1"/>
    <col min="4" max="4" width="15" customWidth="1"/>
    <col min="5" max="5" width="10.6640625" customWidth="1"/>
    <col min="6" max="6" width="13.33203125" bestFit="1" customWidth="1"/>
    <col min="7" max="7" width="15.6640625" style="14" bestFit="1" customWidth="1"/>
    <col min="8" max="8" width="80.33203125" style="31" bestFit="1" customWidth="1"/>
    <col min="9" max="9" width="17.88671875" customWidth="1"/>
    <col min="10" max="10" width="19.109375" style="14" customWidth="1"/>
    <col min="11" max="11" width="27.109375" style="31" customWidth="1"/>
    <col min="12" max="12" width="15.88671875" style="31" bestFit="1" customWidth="1"/>
    <col min="13" max="13" width="14.44140625" style="31" bestFit="1" customWidth="1"/>
    <col min="14" max="14" width="14.6640625" style="31" customWidth="1"/>
  </cols>
  <sheetData>
    <row r="1" spans="1:14" x14ac:dyDescent="0.3">
      <c r="A1" s="16"/>
      <c r="B1" s="17"/>
      <c r="C1" s="17"/>
      <c r="D1" s="17"/>
      <c r="E1" s="17"/>
      <c r="F1" s="17"/>
      <c r="G1" s="18"/>
      <c r="H1" s="30"/>
      <c r="I1" s="17"/>
      <c r="J1" s="18"/>
      <c r="K1" s="30"/>
      <c r="L1" s="30"/>
      <c r="M1" s="30"/>
      <c r="N1" s="34"/>
    </row>
    <row r="2" spans="1:14" x14ac:dyDescent="0.3">
      <c r="A2" s="20"/>
      <c r="N2" s="35"/>
    </row>
    <row r="3" spans="1:14" ht="15" thickBot="1" x14ac:dyDescent="0.35">
      <c r="A3" s="20"/>
      <c r="N3" s="35"/>
    </row>
    <row r="4" spans="1:14" ht="21.6" customHeight="1" thickBot="1" x14ac:dyDescent="0.45">
      <c r="A4" s="244" t="s">
        <v>171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6"/>
      <c r="M4" s="247"/>
      <c r="N4" s="248"/>
    </row>
    <row r="5" spans="1:14" ht="18.600000000000001" thickBot="1" x14ac:dyDescent="0.4">
      <c r="A5" s="249" t="s">
        <v>172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L5" s="33"/>
      <c r="M5" s="33"/>
      <c r="N5" s="36"/>
    </row>
    <row r="6" spans="1:14" ht="50.25" hidden="1" customHeight="1" x14ac:dyDescent="0.3">
      <c r="A6" s="252" t="s">
        <v>0</v>
      </c>
      <c r="B6" s="253" t="s">
        <v>1</v>
      </c>
      <c r="C6" s="253"/>
      <c r="D6" s="5" t="s">
        <v>2</v>
      </c>
      <c r="E6" s="5"/>
      <c r="F6" s="5"/>
      <c r="G6" s="10" t="s">
        <v>3</v>
      </c>
      <c r="H6" s="43" t="s">
        <v>4</v>
      </c>
      <c r="I6" s="6" t="s">
        <v>5</v>
      </c>
      <c r="J6" s="15" t="s">
        <v>6</v>
      </c>
      <c r="K6" s="32" t="s">
        <v>7</v>
      </c>
      <c r="L6" s="33"/>
      <c r="M6" s="33"/>
      <c r="N6" s="36"/>
    </row>
    <row r="7" spans="1:14" ht="18.600000000000001" hidden="1" thickBot="1" x14ac:dyDescent="0.4">
      <c r="A7" s="252"/>
      <c r="B7" s="254" t="s">
        <v>8</v>
      </c>
      <c r="C7" s="255"/>
      <c r="D7" s="8" t="s">
        <v>9</v>
      </c>
      <c r="E7" s="8"/>
      <c r="F7" s="8"/>
      <c r="G7" s="8" t="s">
        <v>10</v>
      </c>
      <c r="H7" s="44" t="s">
        <v>9</v>
      </c>
      <c r="I7" s="8" t="s">
        <v>10</v>
      </c>
      <c r="J7" s="9" t="s">
        <v>11</v>
      </c>
      <c r="K7" s="289" t="s">
        <v>12</v>
      </c>
      <c r="L7" s="33"/>
      <c r="M7" s="33"/>
      <c r="N7" s="36"/>
    </row>
    <row r="8" spans="1:14" ht="29.4" hidden="1" thickBot="1" x14ac:dyDescent="0.35">
      <c r="A8" s="252" t="s">
        <v>13</v>
      </c>
      <c r="B8" s="252" t="s">
        <v>14</v>
      </c>
      <c r="C8" s="252"/>
      <c r="D8" s="10" t="s">
        <v>15</v>
      </c>
      <c r="E8" s="10"/>
      <c r="F8" s="10"/>
      <c r="G8" s="11" t="s">
        <v>3</v>
      </c>
      <c r="H8" s="43" t="s">
        <v>4</v>
      </c>
      <c r="I8" s="11" t="s">
        <v>5</v>
      </c>
      <c r="J8" s="12" t="s">
        <v>6</v>
      </c>
      <c r="K8" s="290"/>
      <c r="L8" s="33"/>
      <c r="M8" s="33"/>
      <c r="N8" s="36"/>
    </row>
    <row r="9" spans="1:14" ht="18.600000000000001" hidden="1" thickBot="1" x14ac:dyDescent="0.4">
      <c r="A9" s="252"/>
      <c r="B9" s="254" t="s">
        <v>9</v>
      </c>
      <c r="C9" s="255"/>
      <c r="D9" s="8" t="s">
        <v>8</v>
      </c>
      <c r="E9" s="8"/>
      <c r="F9" s="8"/>
      <c r="G9" s="8" t="s">
        <v>10</v>
      </c>
      <c r="H9" s="44" t="s">
        <v>16</v>
      </c>
      <c r="I9" s="8" t="s">
        <v>17</v>
      </c>
      <c r="J9" s="9" t="s">
        <v>18</v>
      </c>
      <c r="K9" s="291"/>
      <c r="L9" s="33"/>
      <c r="M9" s="33"/>
      <c r="N9" s="36"/>
    </row>
    <row r="10" spans="1:14" x14ac:dyDescent="0.3">
      <c r="A10" s="262"/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4"/>
    </row>
    <row r="11" spans="1:14" x14ac:dyDescent="0.3">
      <c r="A11" s="265"/>
      <c r="B11" s="266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7"/>
    </row>
    <row r="12" spans="1:14" ht="34.5" customHeight="1" thickBot="1" x14ac:dyDescent="0.35">
      <c r="A12" s="265"/>
      <c r="B12" s="266"/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9"/>
    </row>
    <row r="13" spans="1:14" ht="48.75" customHeight="1" thickBot="1" x14ac:dyDescent="0.35">
      <c r="A13" s="110" t="s">
        <v>28</v>
      </c>
      <c r="B13" s="111">
        <v>31</v>
      </c>
      <c r="C13" s="111" t="s">
        <v>29</v>
      </c>
      <c r="D13" s="112">
        <f>E79/1440</f>
        <v>0</v>
      </c>
      <c r="E13" s="112"/>
      <c r="F13" s="112"/>
      <c r="G13" s="111" t="s">
        <v>30</v>
      </c>
      <c r="H13" s="111">
        <f>+B13-D13</f>
        <v>31</v>
      </c>
      <c r="I13" s="111" t="s">
        <v>31</v>
      </c>
      <c r="J13" s="111">
        <v>2</v>
      </c>
      <c r="K13" s="111" t="s">
        <v>52</v>
      </c>
      <c r="L13" s="112">
        <v>720</v>
      </c>
      <c r="M13" s="111" t="s">
        <v>33</v>
      </c>
      <c r="N13" s="113">
        <f>+((H13*J13*L13)-G79)/(H13*J13*L13)</f>
        <v>0.98991935483870963</v>
      </c>
    </row>
    <row r="14" spans="1:14" ht="21.6" thickBot="1" x14ac:dyDescent="0.45">
      <c r="A14" s="270" t="s">
        <v>184</v>
      </c>
      <c r="B14" s="271"/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3"/>
    </row>
    <row r="15" spans="1:14" ht="63" customHeight="1" x14ac:dyDescent="0.3">
      <c r="A15" s="114" t="s">
        <v>19</v>
      </c>
      <c r="B15" s="111" t="s">
        <v>20</v>
      </c>
      <c r="C15" s="111" t="s">
        <v>21</v>
      </c>
      <c r="D15" s="112" t="s">
        <v>22</v>
      </c>
      <c r="E15" s="115" t="s">
        <v>49</v>
      </c>
      <c r="F15" s="115" t="s">
        <v>57</v>
      </c>
      <c r="G15" s="115" t="s">
        <v>55</v>
      </c>
      <c r="H15" s="116" t="s">
        <v>23</v>
      </c>
      <c r="I15" s="115" t="s">
        <v>24</v>
      </c>
      <c r="J15" s="115" t="s">
        <v>32</v>
      </c>
      <c r="K15" s="292" t="s">
        <v>25</v>
      </c>
      <c r="L15" s="293"/>
      <c r="M15" s="293"/>
      <c r="N15" s="294"/>
    </row>
    <row r="16" spans="1:14" ht="17.25" customHeight="1" x14ac:dyDescent="0.3">
      <c r="A16" s="59">
        <v>46023</v>
      </c>
      <c r="B16" s="60" t="s">
        <v>40</v>
      </c>
      <c r="C16" s="61" t="s">
        <v>27</v>
      </c>
      <c r="D16" s="60" t="s">
        <v>48</v>
      </c>
      <c r="E16" s="61">
        <v>0</v>
      </c>
      <c r="F16" s="61">
        <v>0</v>
      </c>
      <c r="G16" s="83">
        <v>0</v>
      </c>
      <c r="H16" s="50" t="s">
        <v>64</v>
      </c>
      <c r="I16" s="62"/>
      <c r="J16" s="60"/>
      <c r="K16" s="277"/>
      <c r="L16" s="278"/>
      <c r="M16" s="278"/>
      <c r="N16" s="279"/>
    </row>
    <row r="17" spans="1:14" ht="17.25" customHeight="1" x14ac:dyDescent="0.3">
      <c r="A17" s="59">
        <v>46023</v>
      </c>
      <c r="B17" s="60" t="s">
        <v>40</v>
      </c>
      <c r="C17" s="61" t="s">
        <v>45</v>
      </c>
      <c r="D17" s="60" t="s">
        <v>48</v>
      </c>
      <c r="E17" s="61">
        <v>0</v>
      </c>
      <c r="F17" s="61">
        <v>0</v>
      </c>
      <c r="G17" s="83">
        <v>0</v>
      </c>
      <c r="H17" s="50" t="s">
        <v>64</v>
      </c>
      <c r="I17" s="62"/>
      <c r="J17" s="60"/>
      <c r="K17" s="277"/>
      <c r="L17" s="278"/>
      <c r="M17" s="278"/>
      <c r="N17" s="279"/>
    </row>
    <row r="18" spans="1:14" ht="17.25" customHeight="1" x14ac:dyDescent="0.3">
      <c r="A18" s="59">
        <v>46024</v>
      </c>
      <c r="B18" s="13" t="s">
        <v>40</v>
      </c>
      <c r="C18" s="37" t="s">
        <v>27</v>
      </c>
      <c r="D18" s="60" t="s">
        <v>48</v>
      </c>
      <c r="E18" s="37">
        <v>0</v>
      </c>
      <c r="F18" s="37">
        <v>0</v>
      </c>
      <c r="G18" s="91">
        <v>0</v>
      </c>
      <c r="H18" s="46" t="s">
        <v>168</v>
      </c>
      <c r="I18" s="38"/>
      <c r="J18" s="2"/>
      <c r="K18" s="277"/>
      <c r="L18" s="278"/>
      <c r="M18" s="278"/>
      <c r="N18" s="279"/>
    </row>
    <row r="19" spans="1:14" ht="17.25" customHeight="1" x14ac:dyDescent="0.3">
      <c r="A19" s="59">
        <v>46024</v>
      </c>
      <c r="B19" s="13" t="s">
        <v>40</v>
      </c>
      <c r="C19" s="37" t="s">
        <v>45</v>
      </c>
      <c r="D19" s="13" t="s">
        <v>48</v>
      </c>
      <c r="E19" s="37">
        <v>0</v>
      </c>
      <c r="F19" s="37">
        <v>0</v>
      </c>
      <c r="G19" s="91">
        <v>0</v>
      </c>
      <c r="H19" s="46" t="s">
        <v>168</v>
      </c>
      <c r="I19" s="38"/>
      <c r="J19" s="2"/>
      <c r="K19" s="92"/>
      <c r="L19" s="93"/>
      <c r="M19" s="93"/>
      <c r="N19" s="94"/>
    </row>
    <row r="20" spans="1:14" ht="17.25" customHeight="1" x14ac:dyDescent="0.3">
      <c r="A20" s="59">
        <v>46025</v>
      </c>
      <c r="B20" s="13" t="s">
        <v>40</v>
      </c>
      <c r="C20" s="37" t="s">
        <v>27</v>
      </c>
      <c r="D20" s="13" t="s">
        <v>48</v>
      </c>
      <c r="E20" s="37">
        <v>0</v>
      </c>
      <c r="F20" s="37">
        <v>0</v>
      </c>
      <c r="G20" s="91">
        <v>0</v>
      </c>
      <c r="H20" s="46" t="s">
        <v>168</v>
      </c>
      <c r="I20" s="38"/>
      <c r="J20" s="2"/>
      <c r="K20" s="280"/>
      <c r="L20" s="281"/>
      <c r="M20" s="281"/>
      <c r="N20" s="282"/>
    </row>
    <row r="21" spans="1:14" ht="17.25" customHeight="1" x14ac:dyDescent="0.3">
      <c r="A21" s="59">
        <v>46025</v>
      </c>
      <c r="B21" s="13" t="s">
        <v>40</v>
      </c>
      <c r="C21" s="37" t="s">
        <v>45</v>
      </c>
      <c r="D21" s="13" t="s">
        <v>48</v>
      </c>
      <c r="E21" s="37">
        <v>0</v>
      </c>
      <c r="F21" s="37">
        <v>0</v>
      </c>
      <c r="G21" s="91">
        <v>0</v>
      </c>
      <c r="H21" s="46" t="s">
        <v>168</v>
      </c>
      <c r="I21" s="38"/>
      <c r="J21" s="2"/>
      <c r="K21" s="92"/>
      <c r="L21" s="108"/>
      <c r="M21" s="108"/>
      <c r="N21" s="109"/>
    </row>
    <row r="22" spans="1:14" ht="17.25" customHeight="1" x14ac:dyDescent="0.3">
      <c r="A22" s="59">
        <v>46026</v>
      </c>
      <c r="B22" s="13" t="s">
        <v>40</v>
      </c>
      <c r="C22" s="37" t="s">
        <v>27</v>
      </c>
      <c r="D22" s="13" t="s">
        <v>46</v>
      </c>
      <c r="E22" s="37">
        <v>0</v>
      </c>
      <c r="F22" s="2">
        <v>60</v>
      </c>
      <c r="G22" s="91">
        <v>0</v>
      </c>
      <c r="H22" s="46" t="s">
        <v>115</v>
      </c>
      <c r="I22" s="38" t="s">
        <v>37</v>
      </c>
      <c r="J22" s="2">
        <v>30041</v>
      </c>
      <c r="K22" s="277"/>
      <c r="L22" s="278"/>
      <c r="M22" s="278"/>
      <c r="N22" s="279"/>
    </row>
    <row r="23" spans="1:14" ht="17.25" customHeight="1" x14ac:dyDescent="0.3">
      <c r="A23" s="59">
        <v>46026</v>
      </c>
      <c r="B23" s="13" t="s">
        <v>40</v>
      </c>
      <c r="C23" s="37" t="s">
        <v>45</v>
      </c>
      <c r="D23" s="13" t="s">
        <v>46</v>
      </c>
      <c r="E23" s="37">
        <v>0</v>
      </c>
      <c r="F23" s="2">
        <v>0</v>
      </c>
      <c r="G23" s="91">
        <v>30</v>
      </c>
      <c r="H23" s="46" t="s">
        <v>99</v>
      </c>
      <c r="I23" s="38" t="s">
        <v>38</v>
      </c>
      <c r="J23" s="2">
        <v>30038</v>
      </c>
      <c r="K23" s="277"/>
      <c r="L23" s="278"/>
      <c r="M23" s="278"/>
      <c r="N23" s="279"/>
    </row>
    <row r="24" spans="1:14" x14ac:dyDescent="0.3">
      <c r="A24" s="59">
        <v>46027</v>
      </c>
      <c r="B24" s="13" t="s">
        <v>40</v>
      </c>
      <c r="C24" s="61" t="s">
        <v>27</v>
      </c>
      <c r="D24" s="13" t="s">
        <v>46</v>
      </c>
      <c r="E24" s="60">
        <v>0</v>
      </c>
      <c r="F24" s="60">
        <v>510</v>
      </c>
      <c r="G24" s="83">
        <v>0</v>
      </c>
      <c r="H24" s="124" t="s">
        <v>106</v>
      </c>
      <c r="I24" s="62"/>
      <c r="J24" s="60"/>
      <c r="K24" s="241"/>
      <c r="L24" s="242"/>
      <c r="M24" s="242"/>
      <c r="N24" s="243"/>
    </row>
    <row r="25" spans="1:14" x14ac:dyDescent="0.3">
      <c r="A25" s="59">
        <v>46027</v>
      </c>
      <c r="B25" s="13" t="s">
        <v>40</v>
      </c>
      <c r="C25" s="61" t="s">
        <v>45</v>
      </c>
      <c r="D25" s="13" t="s">
        <v>46</v>
      </c>
      <c r="E25" s="60">
        <v>0</v>
      </c>
      <c r="F25" s="60">
        <v>720</v>
      </c>
      <c r="G25" s="83">
        <v>0</v>
      </c>
      <c r="H25" s="124" t="s">
        <v>106</v>
      </c>
      <c r="I25" s="62"/>
      <c r="J25" s="60"/>
      <c r="K25" s="66"/>
      <c r="L25" s="67"/>
      <c r="M25" s="67"/>
      <c r="N25" s="68"/>
    </row>
    <row r="26" spans="1:14" x14ac:dyDescent="0.3">
      <c r="A26" s="59">
        <v>46028</v>
      </c>
      <c r="B26" s="13" t="s">
        <v>40</v>
      </c>
      <c r="C26" s="37" t="s">
        <v>27</v>
      </c>
      <c r="D26" s="13" t="s">
        <v>46</v>
      </c>
      <c r="E26" s="37">
        <v>0</v>
      </c>
      <c r="F26" s="2">
        <v>0</v>
      </c>
      <c r="G26" s="91">
        <v>30</v>
      </c>
      <c r="H26" s="46" t="s">
        <v>110</v>
      </c>
      <c r="I26" s="38" t="s">
        <v>50</v>
      </c>
      <c r="J26" s="2">
        <v>30039</v>
      </c>
      <c r="K26" s="277"/>
      <c r="L26" s="278"/>
      <c r="M26" s="278"/>
      <c r="N26" s="279"/>
    </row>
    <row r="27" spans="1:14" x14ac:dyDescent="0.3">
      <c r="A27" s="59">
        <v>46028</v>
      </c>
      <c r="B27" s="13" t="s">
        <v>40</v>
      </c>
      <c r="C27" s="37" t="s">
        <v>45</v>
      </c>
      <c r="D27" s="13" t="s">
        <v>46</v>
      </c>
      <c r="E27" s="2">
        <v>0</v>
      </c>
      <c r="F27" s="2">
        <v>0</v>
      </c>
      <c r="G27" s="91">
        <v>120</v>
      </c>
      <c r="H27" s="46" t="s">
        <v>109</v>
      </c>
      <c r="I27" s="38" t="s">
        <v>37</v>
      </c>
      <c r="J27" s="2">
        <v>30040</v>
      </c>
      <c r="K27" s="92"/>
      <c r="L27" s="93"/>
      <c r="M27" s="93"/>
      <c r="N27" s="94"/>
    </row>
    <row r="28" spans="1:14" x14ac:dyDescent="0.3">
      <c r="A28" s="59">
        <v>46029</v>
      </c>
      <c r="B28" s="13" t="s">
        <v>40</v>
      </c>
      <c r="C28" s="37" t="s">
        <v>27</v>
      </c>
      <c r="D28" s="13" t="s">
        <v>46</v>
      </c>
      <c r="E28" s="2">
        <v>0</v>
      </c>
      <c r="F28" s="2">
        <v>0</v>
      </c>
      <c r="G28" s="91">
        <v>0</v>
      </c>
      <c r="H28" s="46" t="s">
        <v>89</v>
      </c>
      <c r="I28" s="38"/>
      <c r="J28" s="2"/>
      <c r="K28" s="280"/>
      <c r="L28" s="281"/>
      <c r="M28" s="281"/>
      <c r="N28" s="282"/>
    </row>
    <row r="29" spans="1:14" x14ac:dyDescent="0.3">
      <c r="A29" s="59">
        <v>46029</v>
      </c>
      <c r="B29" s="13" t="s">
        <v>40</v>
      </c>
      <c r="C29" s="37" t="s">
        <v>45</v>
      </c>
      <c r="D29" s="13" t="s">
        <v>46</v>
      </c>
      <c r="E29" s="2">
        <v>0</v>
      </c>
      <c r="F29" s="2">
        <v>120</v>
      </c>
      <c r="G29" s="91">
        <v>0</v>
      </c>
      <c r="H29" s="46" t="s">
        <v>119</v>
      </c>
      <c r="I29" s="38"/>
      <c r="J29" s="2"/>
      <c r="K29" s="277"/>
      <c r="L29" s="278"/>
      <c r="M29" s="278"/>
      <c r="N29" s="279"/>
    </row>
    <row r="30" spans="1:14" x14ac:dyDescent="0.3">
      <c r="A30" s="59">
        <v>46030</v>
      </c>
      <c r="B30" s="13" t="s">
        <v>40</v>
      </c>
      <c r="C30" s="37" t="s">
        <v>27</v>
      </c>
      <c r="D30" s="13" t="s">
        <v>46</v>
      </c>
      <c r="E30" s="2">
        <v>0</v>
      </c>
      <c r="F30" s="2">
        <v>0</v>
      </c>
      <c r="G30" s="91">
        <v>0</v>
      </c>
      <c r="H30" s="46" t="s">
        <v>89</v>
      </c>
      <c r="I30" s="38"/>
      <c r="J30" s="2"/>
      <c r="K30" s="277"/>
      <c r="L30" s="278"/>
      <c r="M30" s="278"/>
      <c r="N30" s="279"/>
    </row>
    <row r="31" spans="1:14" x14ac:dyDescent="0.3">
      <c r="A31" s="59">
        <v>46030</v>
      </c>
      <c r="B31" s="13" t="s">
        <v>40</v>
      </c>
      <c r="C31" s="37" t="s">
        <v>45</v>
      </c>
      <c r="D31" s="13" t="s">
        <v>46</v>
      </c>
      <c r="E31" s="2">
        <v>0</v>
      </c>
      <c r="F31" s="2">
        <v>720</v>
      </c>
      <c r="G31" s="91">
        <v>0</v>
      </c>
      <c r="H31" s="125" t="s">
        <v>118</v>
      </c>
      <c r="I31" s="38"/>
      <c r="J31" s="2"/>
      <c r="K31" s="92"/>
      <c r="L31" s="93"/>
      <c r="M31" s="93"/>
      <c r="N31" s="94"/>
    </row>
    <row r="32" spans="1:14" x14ac:dyDescent="0.3">
      <c r="A32" s="59">
        <v>46031</v>
      </c>
      <c r="B32" s="13" t="s">
        <v>40</v>
      </c>
      <c r="C32" s="37" t="s">
        <v>27</v>
      </c>
      <c r="D32" s="13" t="s">
        <v>46</v>
      </c>
      <c r="E32" s="2">
        <v>0</v>
      </c>
      <c r="F32" s="2">
        <v>0</v>
      </c>
      <c r="G32" s="91">
        <v>0</v>
      </c>
      <c r="H32" s="46" t="s">
        <v>89</v>
      </c>
      <c r="I32" s="38"/>
      <c r="J32" s="2"/>
      <c r="K32" s="92"/>
      <c r="L32" s="93"/>
      <c r="M32" s="93"/>
      <c r="N32" s="94"/>
    </row>
    <row r="33" spans="1:14" x14ac:dyDescent="0.3">
      <c r="A33" s="59">
        <v>46031</v>
      </c>
      <c r="B33" s="13" t="s">
        <v>40</v>
      </c>
      <c r="C33" s="37" t="s">
        <v>45</v>
      </c>
      <c r="D33" s="13" t="s">
        <v>46</v>
      </c>
      <c r="E33" s="2">
        <v>0</v>
      </c>
      <c r="F33" s="2">
        <v>105</v>
      </c>
      <c r="G33" s="91">
        <v>0</v>
      </c>
      <c r="H33" s="46" t="s">
        <v>119</v>
      </c>
      <c r="I33" s="2"/>
      <c r="J33" s="2"/>
      <c r="K33" s="92"/>
      <c r="L33" s="93"/>
      <c r="M33" s="93"/>
      <c r="N33" s="94"/>
    </row>
    <row r="34" spans="1:14" x14ac:dyDescent="0.3">
      <c r="A34" s="59">
        <v>46032</v>
      </c>
      <c r="B34" s="13" t="s">
        <v>40</v>
      </c>
      <c r="C34" s="37" t="s">
        <v>27</v>
      </c>
      <c r="D34" s="13" t="s">
        <v>46</v>
      </c>
      <c r="E34" s="2">
        <v>0</v>
      </c>
      <c r="F34" s="2">
        <v>0</v>
      </c>
      <c r="G34" s="91">
        <v>0</v>
      </c>
      <c r="H34" s="46" t="s">
        <v>89</v>
      </c>
      <c r="I34" s="38"/>
      <c r="J34" s="2"/>
      <c r="K34" s="92"/>
      <c r="L34" s="93"/>
      <c r="M34" s="93"/>
      <c r="N34" s="94"/>
    </row>
    <row r="35" spans="1:14" x14ac:dyDescent="0.3">
      <c r="A35" s="59">
        <v>46032</v>
      </c>
      <c r="B35" s="13" t="s">
        <v>40</v>
      </c>
      <c r="C35" s="37" t="s">
        <v>45</v>
      </c>
      <c r="D35" s="13" t="s">
        <v>46</v>
      </c>
      <c r="E35" s="2">
        <v>0</v>
      </c>
      <c r="F35" s="2">
        <v>165</v>
      </c>
      <c r="G35" s="91">
        <v>0</v>
      </c>
      <c r="H35" s="46" t="s">
        <v>119</v>
      </c>
      <c r="I35" s="38"/>
      <c r="J35" s="2"/>
      <c r="K35" s="92"/>
      <c r="L35" s="93"/>
      <c r="M35" s="93"/>
      <c r="N35" s="94"/>
    </row>
    <row r="36" spans="1:14" x14ac:dyDescent="0.3">
      <c r="A36" s="59">
        <v>46033</v>
      </c>
      <c r="B36" s="13" t="s">
        <v>40</v>
      </c>
      <c r="C36" s="37" t="s">
        <v>27</v>
      </c>
      <c r="D36" s="13" t="s">
        <v>46</v>
      </c>
      <c r="E36" s="2">
        <v>0</v>
      </c>
      <c r="F36" s="2">
        <v>60</v>
      </c>
      <c r="G36" s="91">
        <v>0</v>
      </c>
      <c r="H36" s="46" t="s">
        <v>130</v>
      </c>
      <c r="I36" s="38"/>
      <c r="J36" s="2"/>
      <c r="K36" s="92"/>
      <c r="L36" s="93"/>
      <c r="M36" s="93"/>
      <c r="N36" s="94"/>
    </row>
    <row r="37" spans="1:14" x14ac:dyDescent="0.3">
      <c r="A37" s="59">
        <v>46033</v>
      </c>
      <c r="B37" s="13" t="s">
        <v>40</v>
      </c>
      <c r="C37" s="37" t="s">
        <v>45</v>
      </c>
      <c r="D37" s="13" t="s">
        <v>46</v>
      </c>
      <c r="E37" s="2">
        <v>0</v>
      </c>
      <c r="F37" s="2">
        <v>540</v>
      </c>
      <c r="G37" s="91">
        <v>0</v>
      </c>
      <c r="H37" s="46" t="s">
        <v>84</v>
      </c>
      <c r="I37" s="38"/>
      <c r="J37" s="2"/>
      <c r="K37" s="92"/>
      <c r="L37" s="93"/>
      <c r="M37" s="93"/>
      <c r="N37" s="94"/>
    </row>
    <row r="38" spans="1:14" x14ac:dyDescent="0.3">
      <c r="A38" s="59">
        <v>46034</v>
      </c>
      <c r="B38" s="13" t="s">
        <v>40</v>
      </c>
      <c r="C38" s="37" t="s">
        <v>27</v>
      </c>
      <c r="D38" s="13" t="s">
        <v>46</v>
      </c>
      <c r="E38" s="2">
        <v>0</v>
      </c>
      <c r="F38" s="2">
        <v>240</v>
      </c>
      <c r="G38" s="91">
        <v>0</v>
      </c>
      <c r="H38" s="46" t="s">
        <v>131</v>
      </c>
      <c r="I38" s="38"/>
      <c r="J38" s="2"/>
      <c r="K38" s="92"/>
      <c r="L38" s="93"/>
      <c r="M38" s="93"/>
      <c r="N38" s="94"/>
    </row>
    <row r="39" spans="1:14" x14ac:dyDescent="0.3">
      <c r="A39" s="59">
        <v>46034</v>
      </c>
      <c r="B39" s="13" t="s">
        <v>40</v>
      </c>
      <c r="C39" s="37" t="s">
        <v>45</v>
      </c>
      <c r="D39" s="13" t="s">
        <v>46</v>
      </c>
      <c r="E39" s="2">
        <v>0</v>
      </c>
      <c r="F39" s="2">
        <v>0</v>
      </c>
      <c r="G39" s="91">
        <v>60</v>
      </c>
      <c r="H39" s="46" t="s">
        <v>132</v>
      </c>
      <c r="I39" s="38" t="s">
        <v>50</v>
      </c>
      <c r="J39" s="2">
        <v>30041</v>
      </c>
      <c r="K39" s="92"/>
      <c r="L39" s="93"/>
      <c r="M39" s="93"/>
      <c r="N39" s="94"/>
    </row>
    <row r="40" spans="1:14" x14ac:dyDescent="0.3">
      <c r="A40" s="59">
        <v>46035</v>
      </c>
      <c r="B40" s="13" t="s">
        <v>40</v>
      </c>
      <c r="C40" s="37" t="s">
        <v>27</v>
      </c>
      <c r="D40" s="13" t="s">
        <v>46</v>
      </c>
      <c r="E40" s="2">
        <v>0</v>
      </c>
      <c r="F40" s="2">
        <v>0</v>
      </c>
      <c r="G40" s="91">
        <v>0</v>
      </c>
      <c r="H40" s="46" t="s">
        <v>89</v>
      </c>
      <c r="I40" s="38"/>
      <c r="J40" s="2"/>
      <c r="K40" s="92"/>
      <c r="L40" s="93"/>
      <c r="M40" s="93"/>
      <c r="N40" s="94"/>
    </row>
    <row r="41" spans="1:14" x14ac:dyDescent="0.3">
      <c r="A41" s="59">
        <v>46035</v>
      </c>
      <c r="B41" s="13" t="s">
        <v>40</v>
      </c>
      <c r="C41" s="37" t="s">
        <v>45</v>
      </c>
      <c r="D41" s="13" t="s">
        <v>46</v>
      </c>
      <c r="E41" s="2">
        <v>0</v>
      </c>
      <c r="F41" s="2">
        <v>180</v>
      </c>
      <c r="G41" s="91">
        <v>0</v>
      </c>
      <c r="H41" s="46" t="s">
        <v>133</v>
      </c>
      <c r="I41" s="38"/>
      <c r="J41" s="2"/>
      <c r="K41" s="277"/>
      <c r="L41" s="278"/>
      <c r="M41" s="278"/>
      <c r="N41" s="279"/>
    </row>
    <row r="42" spans="1:14" x14ac:dyDescent="0.3">
      <c r="A42" s="59">
        <v>46036</v>
      </c>
      <c r="B42" s="13" t="s">
        <v>40</v>
      </c>
      <c r="C42" s="37" t="s">
        <v>27</v>
      </c>
      <c r="D42" s="13" t="s">
        <v>46</v>
      </c>
      <c r="E42" s="2">
        <v>0</v>
      </c>
      <c r="F42" s="2">
        <v>0</v>
      </c>
      <c r="G42" s="91">
        <v>0</v>
      </c>
      <c r="H42" s="46" t="s">
        <v>139</v>
      </c>
      <c r="I42" s="38"/>
      <c r="J42" s="2"/>
      <c r="K42" s="92"/>
      <c r="L42" s="93"/>
      <c r="M42" s="93"/>
      <c r="N42" s="94"/>
    </row>
    <row r="43" spans="1:14" x14ac:dyDescent="0.3">
      <c r="A43" s="59">
        <v>46036</v>
      </c>
      <c r="B43" s="13" t="s">
        <v>40</v>
      </c>
      <c r="C43" s="37" t="s">
        <v>45</v>
      </c>
      <c r="D43" s="13" t="s">
        <v>48</v>
      </c>
      <c r="E43" s="2">
        <v>0</v>
      </c>
      <c r="F43" s="2">
        <v>0</v>
      </c>
      <c r="G43" s="91">
        <v>0</v>
      </c>
      <c r="H43" s="46" t="s">
        <v>167</v>
      </c>
      <c r="I43" s="38"/>
      <c r="J43" s="2"/>
      <c r="K43" s="92"/>
      <c r="L43" s="93"/>
      <c r="M43" s="93"/>
      <c r="N43" s="94"/>
    </row>
    <row r="44" spans="1:14" x14ac:dyDescent="0.3">
      <c r="A44" s="59">
        <v>46037</v>
      </c>
      <c r="B44" s="13" t="s">
        <v>40</v>
      </c>
      <c r="C44" s="37" t="s">
        <v>27</v>
      </c>
      <c r="D44" s="13" t="s">
        <v>48</v>
      </c>
      <c r="E44" s="2">
        <v>0</v>
      </c>
      <c r="F44" s="2">
        <v>0</v>
      </c>
      <c r="G44" s="91">
        <v>0</v>
      </c>
      <c r="H44" s="46" t="s">
        <v>167</v>
      </c>
      <c r="I44" s="38"/>
      <c r="J44" s="2"/>
      <c r="K44" s="92"/>
      <c r="L44" s="93"/>
      <c r="M44" s="93"/>
      <c r="N44" s="94"/>
    </row>
    <row r="45" spans="1:14" x14ac:dyDescent="0.3">
      <c r="A45" s="59">
        <v>46037</v>
      </c>
      <c r="B45" s="13" t="s">
        <v>40</v>
      </c>
      <c r="C45" s="37" t="s">
        <v>45</v>
      </c>
      <c r="D45" s="13" t="s">
        <v>48</v>
      </c>
      <c r="E45" s="2">
        <v>0</v>
      </c>
      <c r="F45" s="2">
        <v>0</v>
      </c>
      <c r="G45" s="91">
        <v>0</v>
      </c>
      <c r="H45" s="46" t="s">
        <v>167</v>
      </c>
      <c r="I45" s="38"/>
      <c r="J45" s="2"/>
      <c r="K45" s="277"/>
      <c r="L45" s="278"/>
      <c r="M45" s="278"/>
      <c r="N45" s="279"/>
    </row>
    <row r="46" spans="1:14" x14ac:dyDescent="0.3">
      <c r="A46" s="59">
        <v>46038</v>
      </c>
      <c r="B46" s="13" t="s">
        <v>40</v>
      </c>
      <c r="C46" s="37" t="s">
        <v>27</v>
      </c>
      <c r="D46" s="13" t="s">
        <v>48</v>
      </c>
      <c r="E46" s="2">
        <v>0</v>
      </c>
      <c r="F46" s="2">
        <v>0</v>
      </c>
      <c r="G46" s="91">
        <v>0</v>
      </c>
      <c r="H46" s="46" t="s">
        <v>167</v>
      </c>
      <c r="I46" s="3"/>
      <c r="J46" s="2"/>
      <c r="K46" s="277"/>
      <c r="L46" s="278"/>
      <c r="M46" s="278"/>
      <c r="N46" s="279"/>
    </row>
    <row r="47" spans="1:14" x14ac:dyDescent="0.3">
      <c r="A47" s="59">
        <v>46038</v>
      </c>
      <c r="B47" s="13" t="s">
        <v>40</v>
      </c>
      <c r="C47" s="37" t="s">
        <v>45</v>
      </c>
      <c r="D47" s="13" t="s">
        <v>48</v>
      </c>
      <c r="E47" s="2">
        <v>0</v>
      </c>
      <c r="F47" s="2">
        <v>0</v>
      </c>
      <c r="G47" s="91">
        <v>0</v>
      </c>
      <c r="H47" s="46" t="s">
        <v>167</v>
      </c>
      <c r="I47" s="38"/>
      <c r="J47" s="2"/>
      <c r="K47" s="277"/>
      <c r="L47" s="278"/>
      <c r="M47" s="278"/>
      <c r="N47" s="279"/>
    </row>
    <row r="48" spans="1:14" x14ac:dyDescent="0.3">
      <c r="A48" s="59">
        <v>46039</v>
      </c>
      <c r="B48" s="13" t="s">
        <v>40</v>
      </c>
      <c r="C48" s="37" t="s">
        <v>27</v>
      </c>
      <c r="D48" s="13" t="s">
        <v>48</v>
      </c>
      <c r="E48" s="2">
        <v>0</v>
      </c>
      <c r="F48" s="2">
        <v>0</v>
      </c>
      <c r="G48" s="91">
        <v>0</v>
      </c>
      <c r="H48" s="46" t="s">
        <v>167</v>
      </c>
      <c r="I48" s="38"/>
      <c r="J48" s="2"/>
      <c r="K48" s="277"/>
      <c r="L48" s="278"/>
      <c r="M48" s="278"/>
      <c r="N48" s="279"/>
    </row>
    <row r="49" spans="1:14" x14ac:dyDescent="0.3">
      <c r="A49" s="59">
        <v>46039</v>
      </c>
      <c r="B49" s="13" t="s">
        <v>40</v>
      </c>
      <c r="C49" s="37" t="s">
        <v>45</v>
      </c>
      <c r="D49" s="13" t="s">
        <v>48</v>
      </c>
      <c r="E49" s="2">
        <v>0</v>
      </c>
      <c r="F49" s="2">
        <v>0</v>
      </c>
      <c r="G49" s="91">
        <v>0</v>
      </c>
      <c r="H49" s="46" t="s">
        <v>167</v>
      </c>
      <c r="I49" s="38"/>
      <c r="J49" s="2"/>
      <c r="K49" s="277"/>
      <c r="L49" s="278"/>
      <c r="M49" s="278"/>
      <c r="N49" s="279"/>
    </row>
    <row r="50" spans="1:14" x14ac:dyDescent="0.3">
      <c r="A50" s="59">
        <v>46040</v>
      </c>
      <c r="B50" s="13" t="s">
        <v>40</v>
      </c>
      <c r="C50" s="37" t="s">
        <v>27</v>
      </c>
      <c r="D50" s="13" t="s">
        <v>48</v>
      </c>
      <c r="E50" s="2">
        <v>0</v>
      </c>
      <c r="F50" s="2">
        <v>0</v>
      </c>
      <c r="G50" s="91">
        <v>0</v>
      </c>
      <c r="H50" s="46" t="s">
        <v>167</v>
      </c>
      <c r="I50" s="38"/>
      <c r="J50" s="2"/>
      <c r="K50" s="277"/>
      <c r="L50" s="278"/>
      <c r="M50" s="278"/>
      <c r="N50" s="279"/>
    </row>
    <row r="51" spans="1:14" x14ac:dyDescent="0.3">
      <c r="A51" s="59">
        <v>46040</v>
      </c>
      <c r="B51" s="13" t="s">
        <v>40</v>
      </c>
      <c r="C51" s="37" t="s">
        <v>45</v>
      </c>
      <c r="D51" s="13" t="s">
        <v>48</v>
      </c>
      <c r="E51" s="2">
        <v>0</v>
      </c>
      <c r="F51" s="2">
        <v>0</v>
      </c>
      <c r="G51" s="91">
        <v>0</v>
      </c>
      <c r="H51" s="46" t="s">
        <v>167</v>
      </c>
      <c r="I51" s="38"/>
      <c r="J51" s="2"/>
      <c r="K51" s="277"/>
      <c r="L51" s="278"/>
      <c r="M51" s="278"/>
      <c r="N51" s="279"/>
    </row>
    <row r="52" spans="1:14" x14ac:dyDescent="0.3">
      <c r="A52" s="59">
        <v>46041</v>
      </c>
      <c r="B52" s="13" t="s">
        <v>40</v>
      </c>
      <c r="C52" s="37" t="s">
        <v>27</v>
      </c>
      <c r="D52" s="13" t="s">
        <v>48</v>
      </c>
      <c r="E52" s="2">
        <v>0</v>
      </c>
      <c r="F52" s="2">
        <v>0</v>
      </c>
      <c r="G52" s="91">
        <v>0</v>
      </c>
      <c r="H52" s="46" t="s">
        <v>167</v>
      </c>
      <c r="I52" s="3"/>
      <c r="J52" s="2"/>
      <c r="K52" s="277"/>
      <c r="L52" s="278"/>
      <c r="M52" s="278"/>
      <c r="N52" s="279"/>
    </row>
    <row r="53" spans="1:14" x14ac:dyDescent="0.3">
      <c r="A53" s="59">
        <v>46041</v>
      </c>
      <c r="B53" s="13" t="s">
        <v>40</v>
      </c>
      <c r="C53" s="37" t="s">
        <v>45</v>
      </c>
      <c r="D53" s="13" t="s">
        <v>48</v>
      </c>
      <c r="E53" s="2">
        <v>0</v>
      </c>
      <c r="F53" s="2">
        <v>0</v>
      </c>
      <c r="G53" s="91">
        <v>0</v>
      </c>
      <c r="H53" s="46" t="s">
        <v>167</v>
      </c>
      <c r="I53" s="38"/>
      <c r="J53" s="2"/>
      <c r="K53" s="277"/>
      <c r="L53" s="278"/>
      <c r="M53" s="278"/>
      <c r="N53" s="279"/>
    </row>
    <row r="54" spans="1:14" x14ac:dyDescent="0.3">
      <c r="A54" s="59">
        <v>46042</v>
      </c>
      <c r="B54" s="13" t="s">
        <v>40</v>
      </c>
      <c r="C54" s="37" t="s">
        <v>27</v>
      </c>
      <c r="D54" s="13" t="s">
        <v>48</v>
      </c>
      <c r="E54" s="2">
        <v>0</v>
      </c>
      <c r="F54" s="2">
        <v>0</v>
      </c>
      <c r="G54" s="91">
        <v>0</v>
      </c>
      <c r="H54" s="46" t="s">
        <v>167</v>
      </c>
      <c r="I54" s="3"/>
      <c r="J54" s="2"/>
      <c r="K54" s="277"/>
      <c r="L54" s="278"/>
      <c r="M54" s="278"/>
      <c r="N54" s="279"/>
    </row>
    <row r="55" spans="1:14" x14ac:dyDescent="0.3">
      <c r="A55" s="59">
        <v>46042</v>
      </c>
      <c r="B55" s="13" t="s">
        <v>40</v>
      </c>
      <c r="C55" s="37" t="s">
        <v>45</v>
      </c>
      <c r="D55" s="13" t="s">
        <v>48</v>
      </c>
      <c r="E55" s="2">
        <v>0</v>
      </c>
      <c r="F55" s="2">
        <v>0</v>
      </c>
      <c r="G55" s="91">
        <v>0</v>
      </c>
      <c r="H55" s="46" t="s">
        <v>167</v>
      </c>
      <c r="I55" s="38"/>
      <c r="J55" s="2"/>
      <c r="K55" s="277"/>
      <c r="L55" s="278"/>
      <c r="M55" s="278"/>
      <c r="N55" s="279"/>
    </row>
    <row r="56" spans="1:14" x14ac:dyDescent="0.3">
      <c r="A56" s="59">
        <v>46043</v>
      </c>
      <c r="B56" s="13" t="s">
        <v>40</v>
      </c>
      <c r="C56" s="37" t="s">
        <v>27</v>
      </c>
      <c r="D56" s="13" t="s">
        <v>46</v>
      </c>
      <c r="E56" s="2">
        <v>0</v>
      </c>
      <c r="F56" s="2">
        <v>0</v>
      </c>
      <c r="G56" s="91">
        <v>0</v>
      </c>
      <c r="H56" s="46" t="s">
        <v>158</v>
      </c>
      <c r="I56" s="38"/>
      <c r="J56" s="2"/>
      <c r="K56" s="277"/>
      <c r="L56" s="278"/>
      <c r="M56" s="278"/>
      <c r="N56" s="279"/>
    </row>
    <row r="57" spans="1:14" x14ac:dyDescent="0.3">
      <c r="A57" s="59">
        <v>46043</v>
      </c>
      <c r="B57" s="13" t="s">
        <v>40</v>
      </c>
      <c r="C57" s="37" t="s">
        <v>45</v>
      </c>
      <c r="D57" s="13" t="s">
        <v>46</v>
      </c>
      <c r="E57" s="2">
        <v>0</v>
      </c>
      <c r="F57" s="2">
        <v>0</v>
      </c>
      <c r="G57" s="91">
        <v>0</v>
      </c>
      <c r="H57" s="46" t="s">
        <v>89</v>
      </c>
      <c r="I57" s="3" t="s">
        <v>135</v>
      </c>
      <c r="J57" s="2">
        <v>30043</v>
      </c>
      <c r="K57" s="92"/>
      <c r="L57" s="93"/>
      <c r="M57" s="93"/>
      <c r="N57" s="94"/>
    </row>
    <row r="58" spans="1:14" x14ac:dyDescent="0.3">
      <c r="A58" s="59">
        <v>46044</v>
      </c>
      <c r="B58" s="13" t="s">
        <v>40</v>
      </c>
      <c r="C58" s="37" t="s">
        <v>27</v>
      </c>
      <c r="D58" s="13" t="s">
        <v>46</v>
      </c>
      <c r="E58" s="2">
        <v>0</v>
      </c>
      <c r="F58" s="2">
        <v>0</v>
      </c>
      <c r="G58" s="91">
        <v>120</v>
      </c>
      <c r="H58" s="46" t="s">
        <v>159</v>
      </c>
      <c r="I58" s="38"/>
      <c r="J58" s="2"/>
      <c r="K58" s="92"/>
      <c r="L58" s="93"/>
      <c r="M58" s="93"/>
      <c r="N58" s="94"/>
    </row>
    <row r="59" spans="1:14" x14ac:dyDescent="0.3">
      <c r="A59" s="59">
        <v>46044</v>
      </c>
      <c r="B59" s="13" t="s">
        <v>40</v>
      </c>
      <c r="C59" s="37" t="s">
        <v>27</v>
      </c>
      <c r="D59" s="13" t="s">
        <v>46</v>
      </c>
      <c r="E59" s="2">
        <v>0</v>
      </c>
      <c r="F59" s="2">
        <v>0</v>
      </c>
      <c r="G59" s="91">
        <v>30</v>
      </c>
      <c r="H59" s="46" t="s">
        <v>132</v>
      </c>
      <c r="I59" s="3" t="s">
        <v>160</v>
      </c>
      <c r="J59" s="2">
        <v>30044</v>
      </c>
      <c r="K59" s="92"/>
      <c r="L59" s="93"/>
      <c r="M59" s="93"/>
      <c r="N59" s="94"/>
    </row>
    <row r="60" spans="1:14" x14ac:dyDescent="0.3">
      <c r="A60" s="59">
        <v>46044</v>
      </c>
      <c r="B60" s="13" t="s">
        <v>40</v>
      </c>
      <c r="C60" s="37" t="s">
        <v>45</v>
      </c>
      <c r="D60" s="13" t="s">
        <v>46</v>
      </c>
      <c r="E60" s="2">
        <v>0</v>
      </c>
      <c r="F60" s="2">
        <v>75</v>
      </c>
      <c r="G60" s="91">
        <v>0</v>
      </c>
      <c r="H60" s="46" t="s">
        <v>161</v>
      </c>
      <c r="I60" s="38"/>
      <c r="J60" s="2"/>
      <c r="K60" s="92"/>
      <c r="L60" s="93"/>
      <c r="M60" s="93"/>
      <c r="N60" s="94"/>
    </row>
    <row r="61" spans="1:14" x14ac:dyDescent="0.3">
      <c r="A61" s="59">
        <v>46045</v>
      </c>
      <c r="B61" s="13" t="s">
        <v>40</v>
      </c>
      <c r="C61" s="37" t="s">
        <v>27</v>
      </c>
      <c r="D61" s="13" t="s">
        <v>46</v>
      </c>
      <c r="E61" s="2">
        <v>0</v>
      </c>
      <c r="F61" s="2">
        <v>0</v>
      </c>
      <c r="G61" s="91">
        <v>60</v>
      </c>
      <c r="H61" s="46" t="s">
        <v>162</v>
      </c>
      <c r="I61" s="3" t="s">
        <v>163</v>
      </c>
      <c r="J61" s="2">
        <v>30046</v>
      </c>
      <c r="K61" s="92"/>
      <c r="L61" s="93"/>
      <c r="M61" s="93"/>
      <c r="N61" s="94"/>
    </row>
    <row r="62" spans="1:14" x14ac:dyDescent="0.3">
      <c r="A62" s="59">
        <v>46045</v>
      </c>
      <c r="B62" s="13" t="s">
        <v>40</v>
      </c>
      <c r="C62" s="37" t="s">
        <v>45</v>
      </c>
      <c r="D62" s="13" t="s">
        <v>46</v>
      </c>
      <c r="E62" s="2">
        <v>0</v>
      </c>
      <c r="F62" s="2">
        <v>0</v>
      </c>
      <c r="G62" s="91">
        <v>0</v>
      </c>
      <c r="H62" s="46" t="s">
        <v>89</v>
      </c>
      <c r="I62" s="38"/>
      <c r="J62" s="2"/>
      <c r="K62" s="92"/>
      <c r="L62" s="93"/>
      <c r="M62" s="93"/>
      <c r="N62" s="94"/>
    </row>
    <row r="63" spans="1:14" x14ac:dyDescent="0.3">
      <c r="A63" s="59">
        <v>46046</v>
      </c>
      <c r="B63" s="13" t="s">
        <v>40</v>
      </c>
      <c r="C63" s="37" t="s">
        <v>27</v>
      </c>
      <c r="D63" s="13" t="s">
        <v>46</v>
      </c>
      <c r="E63" s="2">
        <v>0</v>
      </c>
      <c r="F63" s="2">
        <v>60</v>
      </c>
      <c r="G63" s="91">
        <v>0</v>
      </c>
      <c r="H63" s="46" t="s">
        <v>164</v>
      </c>
      <c r="I63" s="38"/>
      <c r="J63" s="2"/>
      <c r="K63" s="92"/>
      <c r="L63" s="93"/>
      <c r="M63" s="93"/>
      <c r="N63" s="94"/>
    </row>
    <row r="64" spans="1:14" x14ac:dyDescent="0.3">
      <c r="A64" s="59">
        <v>46046</v>
      </c>
      <c r="B64" s="13" t="s">
        <v>40</v>
      </c>
      <c r="C64" s="37" t="s">
        <v>45</v>
      </c>
      <c r="D64" s="13" t="s">
        <v>46</v>
      </c>
      <c r="E64" s="2">
        <v>0</v>
      </c>
      <c r="F64" s="2">
        <v>60</v>
      </c>
      <c r="G64" s="91">
        <v>0</v>
      </c>
      <c r="H64" s="46" t="s">
        <v>84</v>
      </c>
      <c r="I64" s="38"/>
      <c r="J64" s="2"/>
      <c r="K64" s="92"/>
      <c r="L64" s="93"/>
      <c r="M64" s="93"/>
      <c r="N64" s="94"/>
    </row>
    <row r="65" spans="1:14" x14ac:dyDescent="0.3">
      <c r="A65" s="59">
        <v>46047</v>
      </c>
      <c r="B65" s="13" t="s">
        <v>40</v>
      </c>
      <c r="C65" s="37" t="s">
        <v>27</v>
      </c>
      <c r="D65" s="13" t="s">
        <v>46</v>
      </c>
      <c r="E65" s="2">
        <v>0</v>
      </c>
      <c r="F65" s="2">
        <v>0</v>
      </c>
      <c r="G65" s="91">
        <v>0</v>
      </c>
      <c r="H65" s="46" t="s">
        <v>89</v>
      </c>
      <c r="I65" s="38"/>
      <c r="J65" s="2"/>
      <c r="K65" s="92"/>
      <c r="L65" s="93"/>
      <c r="M65" s="93"/>
      <c r="N65" s="94"/>
    </row>
    <row r="66" spans="1:14" x14ac:dyDescent="0.3">
      <c r="A66" s="59">
        <v>46047</v>
      </c>
      <c r="B66" s="13" t="s">
        <v>40</v>
      </c>
      <c r="C66" s="37" t="s">
        <v>45</v>
      </c>
      <c r="D66" s="13" t="s">
        <v>46</v>
      </c>
      <c r="E66" s="2">
        <v>0</v>
      </c>
      <c r="F66" s="2">
        <v>360</v>
      </c>
      <c r="G66" s="91">
        <v>0</v>
      </c>
      <c r="H66" s="46" t="s">
        <v>84</v>
      </c>
      <c r="I66" s="38"/>
      <c r="J66" s="2"/>
      <c r="K66" s="92"/>
      <c r="L66" s="93"/>
      <c r="M66" s="93"/>
      <c r="N66" s="94"/>
    </row>
    <row r="67" spans="1:14" x14ac:dyDescent="0.3">
      <c r="A67" s="59">
        <v>46048</v>
      </c>
      <c r="B67" s="13" t="s">
        <v>40</v>
      </c>
      <c r="C67" s="37" t="s">
        <v>27</v>
      </c>
      <c r="D67" s="13" t="s">
        <v>46</v>
      </c>
      <c r="E67" s="2">
        <v>0</v>
      </c>
      <c r="F67" s="2">
        <v>600</v>
      </c>
      <c r="G67" s="91">
        <v>0</v>
      </c>
      <c r="H67" s="46" t="s">
        <v>84</v>
      </c>
      <c r="I67" s="38"/>
      <c r="J67" s="2"/>
      <c r="K67" s="92"/>
      <c r="L67" s="93"/>
      <c r="M67" s="93"/>
      <c r="N67" s="94"/>
    </row>
    <row r="68" spans="1:14" x14ac:dyDescent="0.3">
      <c r="A68" s="59">
        <v>46048</v>
      </c>
      <c r="B68" s="13" t="s">
        <v>40</v>
      </c>
      <c r="C68" s="37" t="s">
        <v>45</v>
      </c>
      <c r="D68" s="13" t="s">
        <v>46</v>
      </c>
      <c r="E68" s="2">
        <v>0</v>
      </c>
      <c r="F68" s="49">
        <v>390</v>
      </c>
      <c r="G68" s="2">
        <v>0</v>
      </c>
      <c r="H68" s="46" t="s">
        <v>84</v>
      </c>
      <c r="I68" s="3"/>
      <c r="J68" s="2"/>
      <c r="K68" s="40"/>
      <c r="L68" s="41"/>
      <c r="M68" s="41"/>
      <c r="N68" s="42"/>
    </row>
    <row r="69" spans="1:14" x14ac:dyDescent="0.3">
      <c r="A69" s="59">
        <v>46049</v>
      </c>
      <c r="B69" s="13" t="s">
        <v>40</v>
      </c>
      <c r="C69" s="37" t="s">
        <v>27</v>
      </c>
      <c r="D69" s="13" t="s">
        <v>46</v>
      </c>
      <c r="E69" s="2">
        <v>0</v>
      </c>
      <c r="F69" s="2">
        <v>270</v>
      </c>
      <c r="G69" s="91">
        <v>0</v>
      </c>
      <c r="H69" s="46" t="s">
        <v>84</v>
      </c>
      <c r="I69" s="38"/>
      <c r="J69" s="2"/>
      <c r="K69" s="277"/>
      <c r="L69" s="278"/>
      <c r="M69" s="278"/>
      <c r="N69" s="279"/>
    </row>
    <row r="70" spans="1:14" x14ac:dyDescent="0.3">
      <c r="A70" s="59">
        <v>46049</v>
      </c>
      <c r="B70" s="13" t="s">
        <v>40</v>
      </c>
      <c r="C70" s="37" t="s">
        <v>45</v>
      </c>
      <c r="D70" s="13" t="s">
        <v>46</v>
      </c>
      <c r="E70" s="2">
        <v>0</v>
      </c>
      <c r="F70" s="2">
        <v>450</v>
      </c>
      <c r="G70" s="2">
        <v>0</v>
      </c>
      <c r="H70" s="46" t="s">
        <v>84</v>
      </c>
      <c r="I70" s="3"/>
      <c r="J70" s="2"/>
      <c r="K70" s="286"/>
      <c r="L70" s="287"/>
      <c r="M70" s="287"/>
      <c r="N70" s="288"/>
    </row>
    <row r="71" spans="1:14" x14ac:dyDescent="0.3">
      <c r="A71" s="59">
        <v>46050</v>
      </c>
      <c r="B71" s="13" t="s">
        <v>40</v>
      </c>
      <c r="C71" s="61" t="s">
        <v>27</v>
      </c>
      <c r="D71" s="13" t="s">
        <v>46</v>
      </c>
      <c r="E71" s="60">
        <v>0</v>
      </c>
      <c r="F71" s="60">
        <v>0</v>
      </c>
      <c r="G71" s="83">
        <v>0</v>
      </c>
      <c r="H71" s="50" t="s">
        <v>165</v>
      </c>
      <c r="I71" s="62"/>
      <c r="J71" s="60"/>
      <c r="K71" s="238"/>
      <c r="L71" s="239"/>
      <c r="M71" s="239"/>
      <c r="N71" s="240"/>
    </row>
    <row r="72" spans="1:14" ht="15.6" x14ac:dyDescent="0.3">
      <c r="A72" s="59">
        <v>46050</v>
      </c>
      <c r="B72" s="13" t="s">
        <v>40</v>
      </c>
      <c r="C72" s="61" t="s">
        <v>45</v>
      </c>
      <c r="D72" s="13" t="s">
        <v>46</v>
      </c>
      <c r="E72" s="60">
        <v>0</v>
      </c>
      <c r="F72" s="60">
        <v>0</v>
      </c>
      <c r="G72" s="83">
        <v>0</v>
      </c>
      <c r="H72" s="50" t="s">
        <v>165</v>
      </c>
      <c r="I72" s="71"/>
      <c r="J72" s="60"/>
      <c r="K72" s="72"/>
      <c r="L72" s="73"/>
      <c r="M72" s="73"/>
      <c r="N72" s="74"/>
    </row>
    <row r="73" spans="1:14" x14ac:dyDescent="0.3">
      <c r="A73" s="59">
        <v>46051</v>
      </c>
      <c r="B73" s="13" t="s">
        <v>40</v>
      </c>
      <c r="C73" s="61" t="s">
        <v>27</v>
      </c>
      <c r="D73" s="13" t="s">
        <v>46</v>
      </c>
      <c r="E73" s="60">
        <v>0</v>
      </c>
      <c r="F73" s="60">
        <v>0</v>
      </c>
      <c r="G73" s="83">
        <v>0</v>
      </c>
      <c r="H73" s="50" t="s">
        <v>165</v>
      </c>
      <c r="I73" s="3"/>
      <c r="J73" s="2"/>
      <c r="K73" s="40"/>
      <c r="L73" s="41"/>
      <c r="M73" s="41"/>
      <c r="N73" s="42"/>
    </row>
    <row r="74" spans="1:14" x14ac:dyDescent="0.3">
      <c r="A74" s="59">
        <v>46051</v>
      </c>
      <c r="B74" s="13" t="s">
        <v>40</v>
      </c>
      <c r="C74" s="61" t="s">
        <v>27</v>
      </c>
      <c r="D74" s="13" t="s">
        <v>46</v>
      </c>
      <c r="E74" s="60">
        <v>0</v>
      </c>
      <c r="F74" s="60">
        <v>0</v>
      </c>
      <c r="G74" s="83">
        <v>0</v>
      </c>
      <c r="H74" s="50" t="s">
        <v>165</v>
      </c>
      <c r="I74" s="3"/>
      <c r="J74" s="2"/>
      <c r="K74" s="283"/>
      <c r="L74" s="284"/>
      <c r="M74" s="284"/>
      <c r="N74" s="285"/>
    </row>
    <row r="75" spans="1:14" x14ac:dyDescent="0.3">
      <c r="A75" s="59">
        <v>46052</v>
      </c>
      <c r="B75" s="13" t="s">
        <v>40</v>
      </c>
      <c r="C75" s="61" t="s">
        <v>45</v>
      </c>
      <c r="D75" s="13" t="s">
        <v>46</v>
      </c>
      <c r="E75" s="60">
        <v>0</v>
      </c>
      <c r="F75" s="60">
        <v>0</v>
      </c>
      <c r="G75" s="83">
        <v>0</v>
      </c>
      <c r="H75" s="50" t="s">
        <v>165</v>
      </c>
      <c r="I75" s="3"/>
      <c r="J75" s="2"/>
      <c r="K75" s="40"/>
      <c r="L75" s="41"/>
      <c r="M75" s="41"/>
      <c r="N75" s="42"/>
    </row>
    <row r="76" spans="1:14" x14ac:dyDescent="0.3">
      <c r="A76" s="59">
        <v>46052</v>
      </c>
      <c r="B76" s="13" t="s">
        <v>40</v>
      </c>
      <c r="C76" s="61" t="s">
        <v>45</v>
      </c>
      <c r="D76" s="13" t="s">
        <v>46</v>
      </c>
      <c r="E76" s="60">
        <v>0</v>
      </c>
      <c r="F76" s="60">
        <v>0</v>
      </c>
      <c r="G76" s="83">
        <v>0</v>
      </c>
      <c r="H76" s="50" t="s">
        <v>165</v>
      </c>
      <c r="I76" s="3"/>
      <c r="J76" s="2"/>
      <c r="K76" s="40"/>
      <c r="L76" s="41"/>
      <c r="M76" s="41"/>
      <c r="N76" s="42"/>
    </row>
    <row r="77" spans="1:14" x14ac:dyDescent="0.3">
      <c r="A77" s="59">
        <v>46053</v>
      </c>
      <c r="B77" s="13" t="s">
        <v>40</v>
      </c>
      <c r="C77" s="61" t="s">
        <v>27</v>
      </c>
      <c r="D77" s="13" t="s">
        <v>46</v>
      </c>
      <c r="E77" s="60">
        <v>0</v>
      </c>
      <c r="F77" s="60">
        <v>0</v>
      </c>
      <c r="G77" s="83">
        <v>0</v>
      </c>
      <c r="H77" s="50" t="s">
        <v>165</v>
      </c>
      <c r="I77" s="3"/>
      <c r="J77" s="2"/>
      <c r="K77" s="40"/>
      <c r="L77" s="41"/>
      <c r="M77" s="41"/>
      <c r="N77" s="42"/>
    </row>
    <row r="78" spans="1:14" x14ac:dyDescent="0.3">
      <c r="A78" s="59">
        <v>46053</v>
      </c>
      <c r="B78" s="13" t="s">
        <v>40</v>
      </c>
      <c r="C78" s="61" t="s">
        <v>45</v>
      </c>
      <c r="D78" s="13" t="s">
        <v>46</v>
      </c>
      <c r="E78" s="60">
        <v>0</v>
      </c>
      <c r="F78" s="60">
        <v>0</v>
      </c>
      <c r="G78" s="83">
        <v>0</v>
      </c>
      <c r="H78" s="50" t="s">
        <v>165</v>
      </c>
      <c r="I78" s="3"/>
      <c r="J78" s="2"/>
      <c r="K78" s="283"/>
      <c r="L78" s="284"/>
      <c r="M78" s="284"/>
      <c r="N78" s="285"/>
    </row>
    <row r="79" spans="1:14" ht="23.4" x14ac:dyDescent="0.45">
      <c r="A79" s="259" t="s">
        <v>63</v>
      </c>
      <c r="B79" s="260"/>
      <c r="C79" s="260"/>
      <c r="D79" s="261"/>
      <c r="E79" s="98">
        <f>SUM(E16:E78)</f>
        <v>0</v>
      </c>
      <c r="F79" s="98">
        <f>SUM(F16:F78)</f>
        <v>5685</v>
      </c>
      <c r="G79" s="102">
        <f>SUM(G16:G78)</f>
        <v>450</v>
      </c>
      <c r="H79" s="99"/>
      <c r="I79" s="97"/>
      <c r="J79" s="98"/>
      <c r="K79" s="99"/>
      <c r="L79" s="99"/>
      <c r="M79" s="99"/>
      <c r="N79" s="99"/>
    </row>
    <row r="80" spans="1:14" x14ac:dyDescent="0.3">
      <c r="F80" s="14"/>
    </row>
    <row r="81" spans="2:6" x14ac:dyDescent="0.3">
      <c r="B81" t="s">
        <v>273</v>
      </c>
      <c r="F81" s="14"/>
    </row>
    <row r="82" spans="2:6" x14ac:dyDescent="0.3">
      <c r="D82" t="s">
        <v>275</v>
      </c>
      <c r="E82" s="206">
        <f>E79+G79</f>
        <v>450</v>
      </c>
      <c r="F82" s="14"/>
    </row>
    <row r="83" spans="2:6" ht="15" thickBot="1" x14ac:dyDescent="0.35">
      <c r="D83" t="s">
        <v>274</v>
      </c>
      <c r="E83">
        <f>F79</f>
        <v>5685</v>
      </c>
      <c r="F83" s="26"/>
    </row>
  </sheetData>
  <mergeCells count="43">
    <mergeCell ref="A79:D79"/>
    <mergeCell ref="A10:N12"/>
    <mergeCell ref="A14:N14"/>
    <mergeCell ref="K15:N15"/>
    <mergeCell ref="K18:N18"/>
    <mergeCell ref="K22:N22"/>
    <mergeCell ref="K50:N50"/>
    <mergeCell ref="K51:N51"/>
    <mergeCell ref="K52:N52"/>
    <mergeCell ref="K53:N53"/>
    <mergeCell ref="K54:N54"/>
    <mergeCell ref="K45:N45"/>
    <mergeCell ref="K46:N46"/>
    <mergeCell ref="K47:N47"/>
    <mergeCell ref="K48:N48"/>
    <mergeCell ref="K55:N55"/>
    <mergeCell ref="A4:K4"/>
    <mergeCell ref="L4:N4"/>
    <mergeCell ref="A5:K5"/>
    <mergeCell ref="A6:A7"/>
    <mergeCell ref="B6:C6"/>
    <mergeCell ref="B7:C7"/>
    <mergeCell ref="K7:K9"/>
    <mergeCell ref="A8:A9"/>
    <mergeCell ref="B8:C8"/>
    <mergeCell ref="B9:C9"/>
    <mergeCell ref="K74:N74"/>
    <mergeCell ref="K78:N78"/>
    <mergeCell ref="K56:N56"/>
    <mergeCell ref="K69:N69"/>
    <mergeCell ref="K70:N70"/>
    <mergeCell ref="K71:N71"/>
    <mergeCell ref="K49:N49"/>
    <mergeCell ref="K30:N30"/>
    <mergeCell ref="K41:N41"/>
    <mergeCell ref="K16:N16"/>
    <mergeCell ref="K17:N17"/>
    <mergeCell ref="K23:N23"/>
    <mergeCell ref="K28:N28"/>
    <mergeCell ref="K29:N29"/>
    <mergeCell ref="K26:N26"/>
    <mergeCell ref="K24:N24"/>
    <mergeCell ref="K20:N20"/>
  </mergeCells>
  <phoneticPr fontId="11" type="noConversion"/>
  <dataValidations count="1">
    <dataValidation type="list" allowBlank="1" showInputMessage="1" showErrorMessage="1" sqref="I16:I32 I69 I34:I45 I47:I51 I53 I55:I56 I58 I60 I62:I67 I71:I72 B16:D78" xr:uid="{00000000-0002-0000-0200-000000000000}">
      <formula1>#REF!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87"/>
  <sheetViews>
    <sheetView topLeftCell="A76" workbookViewId="0">
      <selection activeCell="A85" sqref="A85:E87"/>
    </sheetView>
  </sheetViews>
  <sheetFormatPr defaultRowHeight="14.4" x14ac:dyDescent="0.3"/>
  <cols>
    <col min="1" max="1" width="12.5546875" customWidth="1"/>
    <col min="2" max="2" width="10" customWidth="1"/>
    <col min="3" max="3" width="13.109375" customWidth="1"/>
    <col min="4" max="4" width="15" customWidth="1"/>
    <col min="5" max="5" width="15" style="14" customWidth="1"/>
    <col min="6" max="6" width="13.33203125" bestFit="1" customWidth="1"/>
    <col min="7" max="7" width="19.109375" style="14" customWidth="1"/>
    <col min="8" max="8" width="63.33203125" style="31" bestFit="1" customWidth="1"/>
    <col min="9" max="9" width="17.88671875" style="31" customWidth="1"/>
    <col min="10" max="10" width="19.109375" style="14" customWidth="1"/>
    <col min="11" max="11" width="27.109375" customWidth="1"/>
    <col min="12" max="12" width="15.88671875" bestFit="1" customWidth="1"/>
    <col min="13" max="13" width="14.44140625" bestFit="1" customWidth="1"/>
    <col min="14" max="14" width="14.6640625" customWidth="1"/>
  </cols>
  <sheetData>
    <row r="1" spans="1:14" x14ac:dyDescent="0.3">
      <c r="A1" s="16"/>
      <c r="B1" s="17"/>
      <c r="C1" s="17"/>
      <c r="D1" s="17"/>
      <c r="E1" s="18"/>
      <c r="F1" s="17"/>
      <c r="G1" s="18"/>
      <c r="H1" s="30"/>
      <c r="I1" s="30"/>
      <c r="J1" s="18"/>
      <c r="K1" s="17"/>
      <c r="L1" s="17"/>
      <c r="M1" s="17"/>
      <c r="N1" s="19"/>
    </row>
    <row r="2" spans="1:14" x14ac:dyDescent="0.3">
      <c r="A2" s="20"/>
      <c r="N2" s="21"/>
    </row>
    <row r="3" spans="1:14" ht="15" thickBot="1" x14ac:dyDescent="0.35">
      <c r="A3" s="20"/>
      <c r="N3" s="21"/>
    </row>
    <row r="4" spans="1:14" ht="21.6" customHeight="1" thickBot="1" x14ac:dyDescent="0.45">
      <c r="A4" s="244" t="s">
        <v>171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6"/>
      <c r="M4" s="247"/>
      <c r="N4" s="248"/>
    </row>
    <row r="5" spans="1:14" ht="18.600000000000001" thickBot="1" x14ac:dyDescent="0.4">
      <c r="A5" s="249" t="s">
        <v>172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L5" s="22"/>
      <c r="M5" s="22"/>
      <c r="N5" s="23"/>
    </row>
    <row r="6" spans="1:14" ht="50.25" hidden="1" customHeight="1" x14ac:dyDescent="0.3">
      <c r="A6" s="252" t="s">
        <v>0</v>
      </c>
      <c r="B6" s="253" t="s">
        <v>1</v>
      </c>
      <c r="C6" s="253"/>
      <c r="D6" s="5" t="s">
        <v>2</v>
      </c>
      <c r="E6" s="51"/>
      <c r="F6" s="5"/>
      <c r="G6" s="10" t="s">
        <v>3</v>
      </c>
      <c r="H6" s="43" t="s">
        <v>4</v>
      </c>
      <c r="I6" s="43" t="s">
        <v>5</v>
      </c>
      <c r="J6" s="15" t="s">
        <v>6</v>
      </c>
      <c r="K6" s="7" t="s">
        <v>7</v>
      </c>
      <c r="L6" s="22"/>
      <c r="M6" s="22"/>
      <c r="N6" s="23"/>
    </row>
    <row r="7" spans="1:14" ht="18.600000000000001" hidden="1" thickBot="1" x14ac:dyDescent="0.4">
      <c r="A7" s="252"/>
      <c r="B7" s="254" t="s">
        <v>8</v>
      </c>
      <c r="C7" s="255"/>
      <c r="D7" s="8" t="s">
        <v>9</v>
      </c>
      <c r="E7" s="8"/>
      <c r="F7" s="8"/>
      <c r="G7" s="8" t="s">
        <v>10</v>
      </c>
      <c r="H7" s="44" t="s">
        <v>9</v>
      </c>
      <c r="I7" s="44" t="s">
        <v>10</v>
      </c>
      <c r="J7" s="9" t="s">
        <v>11</v>
      </c>
      <c r="K7" s="256" t="s">
        <v>12</v>
      </c>
      <c r="L7" s="22"/>
      <c r="M7" s="22"/>
      <c r="N7" s="23"/>
    </row>
    <row r="8" spans="1:14" ht="29.4" hidden="1" thickBot="1" x14ac:dyDescent="0.35">
      <c r="A8" s="252" t="s">
        <v>13</v>
      </c>
      <c r="B8" s="252" t="s">
        <v>14</v>
      </c>
      <c r="C8" s="252"/>
      <c r="D8" s="10" t="s">
        <v>15</v>
      </c>
      <c r="E8" s="10"/>
      <c r="F8" s="10"/>
      <c r="G8" s="11" t="s">
        <v>3</v>
      </c>
      <c r="H8" s="43" t="s">
        <v>4</v>
      </c>
      <c r="I8" s="43" t="s">
        <v>5</v>
      </c>
      <c r="J8" s="12" t="s">
        <v>6</v>
      </c>
      <c r="K8" s="257"/>
      <c r="L8" s="22"/>
      <c r="M8" s="22"/>
      <c r="N8" s="23"/>
    </row>
    <row r="9" spans="1:14" ht="18.600000000000001" hidden="1" thickBot="1" x14ac:dyDescent="0.4">
      <c r="A9" s="252"/>
      <c r="B9" s="254" t="s">
        <v>9</v>
      </c>
      <c r="C9" s="255"/>
      <c r="D9" s="8" t="s">
        <v>8</v>
      </c>
      <c r="E9" s="8"/>
      <c r="F9" s="8"/>
      <c r="G9" s="8" t="s">
        <v>10</v>
      </c>
      <c r="H9" s="44" t="s">
        <v>16</v>
      </c>
      <c r="I9" s="44" t="s">
        <v>17</v>
      </c>
      <c r="J9" s="9" t="s">
        <v>18</v>
      </c>
      <c r="K9" s="258"/>
      <c r="L9" s="22"/>
      <c r="M9" s="22"/>
      <c r="N9" s="23"/>
    </row>
    <row r="10" spans="1:14" x14ac:dyDescent="0.3">
      <c r="A10" s="262"/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4"/>
    </row>
    <row r="11" spans="1:14" x14ac:dyDescent="0.3">
      <c r="A11" s="265"/>
      <c r="B11" s="266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7"/>
    </row>
    <row r="12" spans="1:14" ht="34.5" customHeight="1" thickBot="1" x14ac:dyDescent="0.35">
      <c r="A12" s="265"/>
      <c r="B12" s="266"/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9"/>
    </row>
    <row r="13" spans="1:14" ht="48.75" customHeight="1" thickBot="1" x14ac:dyDescent="0.35">
      <c r="A13" s="53" t="s">
        <v>28</v>
      </c>
      <c r="B13" s="54">
        <v>31</v>
      </c>
      <c r="C13" s="54" t="s">
        <v>29</v>
      </c>
      <c r="D13" s="118">
        <v>2</v>
      </c>
      <c r="E13" s="55"/>
      <c r="F13" s="55"/>
      <c r="G13" s="54" t="s">
        <v>30</v>
      </c>
      <c r="H13" s="54">
        <f>+B13-D13</f>
        <v>29</v>
      </c>
      <c r="I13" s="54" t="s">
        <v>31</v>
      </c>
      <c r="J13" s="54">
        <v>2</v>
      </c>
      <c r="K13" s="54" t="s">
        <v>52</v>
      </c>
      <c r="L13" s="55">
        <v>720</v>
      </c>
      <c r="M13" s="54" t="s">
        <v>33</v>
      </c>
      <c r="N13" s="56">
        <f>+((H13*J13*L13)-G83)/(H13*J13*L13)</f>
        <v>0.99772509578544066</v>
      </c>
    </row>
    <row r="14" spans="1:14" ht="21.6" thickBot="1" x14ac:dyDescent="0.45">
      <c r="A14" s="270" t="s">
        <v>183</v>
      </c>
      <c r="B14" s="271"/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3"/>
    </row>
    <row r="15" spans="1:14" ht="63" customHeight="1" x14ac:dyDescent="0.3">
      <c r="A15" s="57" t="s">
        <v>19</v>
      </c>
      <c r="B15" s="54" t="s">
        <v>20</v>
      </c>
      <c r="C15" s="54" t="s">
        <v>21</v>
      </c>
      <c r="D15" s="55" t="s">
        <v>22</v>
      </c>
      <c r="E15" s="58" t="s">
        <v>49</v>
      </c>
      <c r="F15" s="58" t="s">
        <v>57</v>
      </c>
      <c r="G15" s="58" t="s">
        <v>54</v>
      </c>
      <c r="H15" s="75" t="s">
        <v>23</v>
      </c>
      <c r="I15" s="58" t="s">
        <v>24</v>
      </c>
      <c r="J15" s="58" t="s">
        <v>32</v>
      </c>
      <c r="K15" s="297" t="s">
        <v>25</v>
      </c>
      <c r="L15" s="298"/>
      <c r="M15" s="298"/>
      <c r="N15" s="299"/>
    </row>
    <row r="16" spans="1:14" ht="17.25" customHeight="1" x14ac:dyDescent="0.3">
      <c r="A16" s="59">
        <v>46023</v>
      </c>
      <c r="B16" s="60" t="s">
        <v>41</v>
      </c>
      <c r="C16" s="61" t="s">
        <v>27</v>
      </c>
      <c r="D16" s="60" t="s">
        <v>58</v>
      </c>
      <c r="E16" s="61">
        <v>0</v>
      </c>
      <c r="F16" s="61">
        <v>0</v>
      </c>
      <c r="G16" s="83">
        <v>0</v>
      </c>
      <c r="H16" s="50" t="s">
        <v>64</v>
      </c>
      <c r="I16" s="84"/>
      <c r="J16" s="49"/>
      <c r="K16" s="238"/>
      <c r="L16" s="239"/>
      <c r="M16" s="239"/>
      <c r="N16" s="240"/>
    </row>
    <row r="17" spans="1:14" ht="17.25" customHeight="1" x14ac:dyDescent="0.3">
      <c r="A17" s="59">
        <v>46023</v>
      </c>
      <c r="B17" s="60" t="s">
        <v>41</v>
      </c>
      <c r="C17" s="61" t="s">
        <v>45</v>
      </c>
      <c r="D17" s="60" t="s">
        <v>58</v>
      </c>
      <c r="E17" s="61">
        <v>0</v>
      </c>
      <c r="F17" s="61">
        <v>0</v>
      </c>
      <c r="G17" s="83">
        <v>0</v>
      </c>
      <c r="H17" s="50" t="s">
        <v>64</v>
      </c>
      <c r="I17" s="84"/>
      <c r="J17" s="49"/>
      <c r="K17" s="238"/>
      <c r="L17" s="239"/>
      <c r="M17" s="239"/>
      <c r="N17" s="240"/>
    </row>
    <row r="18" spans="1:14" x14ac:dyDescent="0.3">
      <c r="A18" s="59">
        <v>46024</v>
      </c>
      <c r="B18" s="60" t="s">
        <v>41</v>
      </c>
      <c r="C18" s="61" t="s">
        <v>27</v>
      </c>
      <c r="D18" s="60" t="s">
        <v>58</v>
      </c>
      <c r="E18" s="61">
        <v>0</v>
      </c>
      <c r="F18" s="61">
        <v>0</v>
      </c>
      <c r="G18" s="52">
        <v>25</v>
      </c>
      <c r="H18" s="69" t="s">
        <v>83</v>
      </c>
      <c r="I18" s="84" t="s">
        <v>36</v>
      </c>
      <c r="J18" s="49">
        <v>40075</v>
      </c>
      <c r="K18" s="238"/>
      <c r="L18" s="239"/>
      <c r="M18" s="239"/>
      <c r="N18" s="240"/>
    </row>
    <row r="19" spans="1:14" x14ac:dyDescent="0.3">
      <c r="A19" s="59">
        <v>46024</v>
      </c>
      <c r="B19" s="60" t="s">
        <v>41</v>
      </c>
      <c r="C19" s="61" t="s">
        <v>27</v>
      </c>
      <c r="D19" s="60" t="s">
        <v>58</v>
      </c>
      <c r="E19" s="61">
        <v>0</v>
      </c>
      <c r="F19" s="61">
        <v>60</v>
      </c>
      <c r="G19" s="52">
        <v>0</v>
      </c>
      <c r="H19" s="107" t="s">
        <v>84</v>
      </c>
      <c r="I19" s="84"/>
      <c r="J19" s="49"/>
      <c r="K19" s="63"/>
      <c r="L19" s="64"/>
      <c r="M19" s="64"/>
      <c r="N19" s="65"/>
    </row>
    <row r="20" spans="1:14" ht="17.25" customHeight="1" x14ac:dyDescent="0.3">
      <c r="A20" s="59">
        <v>46024</v>
      </c>
      <c r="B20" s="60" t="s">
        <v>41</v>
      </c>
      <c r="C20" s="61" t="s">
        <v>45</v>
      </c>
      <c r="D20" s="60" t="s">
        <v>58</v>
      </c>
      <c r="E20" s="61">
        <v>0</v>
      </c>
      <c r="F20" s="61">
        <v>30</v>
      </c>
      <c r="G20" s="52">
        <v>0</v>
      </c>
      <c r="H20" s="84" t="s">
        <v>85</v>
      </c>
      <c r="I20" s="85"/>
      <c r="J20" s="49"/>
      <c r="K20" s="63"/>
      <c r="L20" s="64"/>
      <c r="M20" s="64"/>
      <c r="N20" s="65"/>
    </row>
    <row r="21" spans="1:14" ht="17.25" customHeight="1" x14ac:dyDescent="0.3">
      <c r="A21" s="59">
        <v>46025</v>
      </c>
      <c r="B21" s="60" t="s">
        <v>41</v>
      </c>
      <c r="C21" s="61" t="s">
        <v>27</v>
      </c>
      <c r="D21" s="60" t="s">
        <v>58</v>
      </c>
      <c r="E21" s="61">
        <v>0</v>
      </c>
      <c r="F21" s="49">
        <v>0</v>
      </c>
      <c r="G21" s="52">
        <v>0</v>
      </c>
      <c r="H21" s="50" t="s">
        <v>89</v>
      </c>
      <c r="I21" s="69"/>
      <c r="J21" s="49"/>
      <c r="K21" s="300"/>
      <c r="L21" s="301"/>
      <c r="M21" s="301"/>
      <c r="N21" s="302"/>
    </row>
    <row r="22" spans="1:14" ht="17.25" customHeight="1" x14ac:dyDescent="0.3">
      <c r="A22" s="59">
        <v>46025</v>
      </c>
      <c r="B22" s="60" t="s">
        <v>41</v>
      </c>
      <c r="C22" s="61" t="s">
        <v>45</v>
      </c>
      <c r="D22" s="60" t="s">
        <v>58</v>
      </c>
      <c r="E22" s="61">
        <v>0</v>
      </c>
      <c r="F22" s="49">
        <v>75</v>
      </c>
      <c r="G22" s="52">
        <v>0</v>
      </c>
      <c r="H22" s="50" t="s">
        <v>72</v>
      </c>
      <c r="I22" s="69"/>
      <c r="J22" s="49"/>
      <c r="K22" s="86"/>
      <c r="L22" s="87"/>
      <c r="M22" s="87"/>
      <c r="N22" s="88"/>
    </row>
    <row r="23" spans="1:14" ht="17.25" customHeight="1" x14ac:dyDescent="0.3">
      <c r="A23" s="59">
        <v>46025</v>
      </c>
      <c r="B23" s="60" t="s">
        <v>41</v>
      </c>
      <c r="C23" s="61" t="s">
        <v>45</v>
      </c>
      <c r="D23" s="60" t="s">
        <v>58</v>
      </c>
      <c r="E23" s="61">
        <v>0</v>
      </c>
      <c r="F23" s="49">
        <v>0</v>
      </c>
      <c r="G23" s="52">
        <v>30</v>
      </c>
      <c r="H23" s="50" t="s">
        <v>98</v>
      </c>
      <c r="I23" s="85" t="s">
        <v>36</v>
      </c>
      <c r="J23" s="49">
        <v>40076</v>
      </c>
      <c r="K23" s="238"/>
      <c r="L23" s="239"/>
      <c r="M23" s="239"/>
      <c r="N23" s="240"/>
    </row>
    <row r="24" spans="1:14" ht="17.25" customHeight="1" x14ac:dyDescent="0.3">
      <c r="A24" s="59">
        <v>46026</v>
      </c>
      <c r="B24" s="60" t="s">
        <v>41</v>
      </c>
      <c r="C24" s="61" t="s">
        <v>27</v>
      </c>
      <c r="D24" s="60" t="s">
        <v>58</v>
      </c>
      <c r="E24" s="61">
        <v>0</v>
      </c>
      <c r="F24" s="49">
        <v>0</v>
      </c>
      <c r="G24" s="52">
        <v>0</v>
      </c>
      <c r="H24" s="50" t="s">
        <v>89</v>
      </c>
      <c r="I24" s="85"/>
      <c r="J24" s="49"/>
      <c r="K24" s="238"/>
      <c r="L24" s="239"/>
      <c r="M24" s="239"/>
      <c r="N24" s="240"/>
    </row>
    <row r="25" spans="1:14" ht="17.25" customHeight="1" x14ac:dyDescent="0.3">
      <c r="A25" s="59">
        <v>46026</v>
      </c>
      <c r="B25" s="60" t="s">
        <v>41</v>
      </c>
      <c r="C25" s="61" t="s">
        <v>45</v>
      </c>
      <c r="D25" s="60" t="s">
        <v>58</v>
      </c>
      <c r="E25" s="61">
        <v>0</v>
      </c>
      <c r="F25" s="49">
        <v>150</v>
      </c>
      <c r="G25" s="52">
        <v>0</v>
      </c>
      <c r="H25" s="89" t="s">
        <v>72</v>
      </c>
      <c r="I25" s="85"/>
      <c r="J25" s="49"/>
      <c r="K25" s="63"/>
      <c r="L25" s="64"/>
      <c r="M25" s="64"/>
      <c r="N25" s="65"/>
    </row>
    <row r="26" spans="1:14" ht="17.25" customHeight="1" x14ac:dyDescent="0.3">
      <c r="A26" s="59">
        <v>46027</v>
      </c>
      <c r="B26" s="60" t="s">
        <v>41</v>
      </c>
      <c r="C26" s="61" t="s">
        <v>27</v>
      </c>
      <c r="D26" s="60" t="s">
        <v>58</v>
      </c>
      <c r="E26" s="61">
        <v>0</v>
      </c>
      <c r="F26" s="49">
        <v>570</v>
      </c>
      <c r="G26" s="52">
        <v>0</v>
      </c>
      <c r="H26" s="124" t="s">
        <v>106</v>
      </c>
      <c r="I26" s="85"/>
      <c r="J26" s="49"/>
      <c r="K26" s="63" t="s">
        <v>105</v>
      </c>
      <c r="L26" s="64"/>
      <c r="M26" s="64"/>
      <c r="N26" s="65"/>
    </row>
    <row r="27" spans="1:14" s="48" customFormat="1" x14ac:dyDescent="0.3">
      <c r="A27" s="59">
        <v>46027</v>
      </c>
      <c r="B27" s="60" t="s">
        <v>41</v>
      </c>
      <c r="C27" s="61" t="s">
        <v>45</v>
      </c>
      <c r="D27" s="60" t="s">
        <v>58</v>
      </c>
      <c r="E27" s="61">
        <v>0</v>
      </c>
      <c r="F27" s="61">
        <v>720</v>
      </c>
      <c r="G27" s="52">
        <v>0</v>
      </c>
      <c r="H27" s="124" t="s">
        <v>106</v>
      </c>
      <c r="I27" s="69"/>
      <c r="J27" s="60"/>
      <c r="K27" s="63"/>
      <c r="L27" s="64"/>
      <c r="M27" s="64"/>
      <c r="N27" s="65"/>
    </row>
    <row r="28" spans="1:14" s="48" customFormat="1" x14ac:dyDescent="0.3">
      <c r="A28" s="59">
        <v>46028</v>
      </c>
      <c r="B28" s="60" t="s">
        <v>41</v>
      </c>
      <c r="C28" s="61" t="s">
        <v>27</v>
      </c>
      <c r="D28" s="60" t="s">
        <v>58</v>
      </c>
      <c r="E28" s="60">
        <v>0</v>
      </c>
      <c r="F28" s="60">
        <v>420</v>
      </c>
      <c r="G28" s="83">
        <v>0</v>
      </c>
      <c r="H28" s="124" t="s">
        <v>106</v>
      </c>
      <c r="I28" s="69"/>
      <c r="J28" s="60"/>
      <c r="K28" s="300"/>
      <c r="L28" s="301"/>
      <c r="M28" s="301"/>
      <c r="N28" s="302"/>
    </row>
    <row r="29" spans="1:14" s="48" customFormat="1" x14ac:dyDescent="0.3">
      <c r="A29" s="59">
        <v>46028</v>
      </c>
      <c r="B29" s="60" t="s">
        <v>41</v>
      </c>
      <c r="C29" s="61" t="s">
        <v>27</v>
      </c>
      <c r="D29" s="60" t="s">
        <v>58</v>
      </c>
      <c r="E29" s="60">
        <v>0</v>
      </c>
      <c r="F29" s="60">
        <v>0</v>
      </c>
      <c r="G29" s="83">
        <v>25</v>
      </c>
      <c r="H29" s="50" t="s">
        <v>127</v>
      </c>
      <c r="I29" s="69" t="s">
        <v>36</v>
      </c>
      <c r="J29" s="60">
        <v>40077</v>
      </c>
      <c r="K29" s="86"/>
      <c r="L29" s="87"/>
      <c r="M29" s="87"/>
      <c r="N29" s="88"/>
    </row>
    <row r="30" spans="1:14" s="48" customFormat="1" x14ac:dyDescent="0.3">
      <c r="A30" s="59">
        <v>46028</v>
      </c>
      <c r="B30" s="60" t="s">
        <v>41</v>
      </c>
      <c r="C30" s="61" t="s">
        <v>45</v>
      </c>
      <c r="D30" s="60" t="s">
        <v>58</v>
      </c>
      <c r="E30" s="60">
        <v>0</v>
      </c>
      <c r="F30" s="60">
        <v>0</v>
      </c>
      <c r="G30" s="83">
        <v>0</v>
      </c>
      <c r="H30" s="50" t="s">
        <v>89</v>
      </c>
      <c r="I30" s="85"/>
      <c r="J30" s="60"/>
      <c r="K30" s="238"/>
      <c r="L30" s="239"/>
      <c r="M30" s="239"/>
      <c r="N30" s="240"/>
    </row>
    <row r="31" spans="1:14" s="48" customFormat="1" x14ac:dyDescent="0.3">
      <c r="A31" s="59">
        <v>46029</v>
      </c>
      <c r="B31" s="60" t="s">
        <v>41</v>
      </c>
      <c r="C31" s="61" t="s">
        <v>27</v>
      </c>
      <c r="D31" s="60" t="s">
        <v>58</v>
      </c>
      <c r="E31" s="60">
        <v>0</v>
      </c>
      <c r="F31" s="60">
        <v>0</v>
      </c>
      <c r="G31" s="83">
        <v>15</v>
      </c>
      <c r="H31" s="50" t="s">
        <v>126</v>
      </c>
      <c r="I31" s="69" t="s">
        <v>36</v>
      </c>
      <c r="J31" s="60">
        <v>40078</v>
      </c>
      <c r="K31" s="238"/>
      <c r="L31" s="239"/>
      <c r="M31" s="239"/>
      <c r="N31" s="240"/>
    </row>
    <row r="32" spans="1:14" s="48" customFormat="1" x14ac:dyDescent="0.3">
      <c r="A32" s="59">
        <v>46029</v>
      </c>
      <c r="B32" s="60" t="s">
        <v>41</v>
      </c>
      <c r="C32" s="61" t="s">
        <v>45</v>
      </c>
      <c r="D32" s="60" t="s">
        <v>58</v>
      </c>
      <c r="E32" s="60">
        <v>0</v>
      </c>
      <c r="F32" s="60">
        <v>720</v>
      </c>
      <c r="G32" s="83">
        <v>0</v>
      </c>
      <c r="H32" s="124" t="s">
        <v>79</v>
      </c>
      <c r="I32" s="69"/>
      <c r="J32" s="60"/>
      <c r="K32" s="63"/>
      <c r="L32" s="67"/>
      <c r="M32" s="67"/>
      <c r="N32" s="68"/>
    </row>
    <row r="33" spans="1:14" s="48" customFormat="1" x14ac:dyDescent="0.3">
      <c r="A33" s="59">
        <v>46030</v>
      </c>
      <c r="B33" s="60" t="s">
        <v>41</v>
      </c>
      <c r="C33" s="61" t="s">
        <v>27</v>
      </c>
      <c r="D33" s="60" t="s">
        <v>58</v>
      </c>
      <c r="E33" s="60">
        <v>0</v>
      </c>
      <c r="F33" s="60">
        <v>720</v>
      </c>
      <c r="G33" s="83">
        <v>0</v>
      </c>
      <c r="H33" s="124" t="s">
        <v>79</v>
      </c>
      <c r="I33" s="69"/>
      <c r="J33" s="60"/>
      <c r="K33" s="63"/>
      <c r="L33" s="67"/>
      <c r="M33" s="67"/>
      <c r="N33" s="68"/>
    </row>
    <row r="34" spans="1:14" s="48" customFormat="1" x14ac:dyDescent="0.3">
      <c r="A34" s="59">
        <v>46030</v>
      </c>
      <c r="B34" s="60" t="s">
        <v>41</v>
      </c>
      <c r="C34" s="61" t="s">
        <v>45</v>
      </c>
      <c r="D34" s="60" t="s">
        <v>58</v>
      </c>
      <c r="E34" s="60">
        <v>0</v>
      </c>
      <c r="F34" s="60">
        <v>720</v>
      </c>
      <c r="G34" s="83">
        <v>0</v>
      </c>
      <c r="H34" s="124" t="s">
        <v>79</v>
      </c>
      <c r="I34" s="90"/>
      <c r="J34" s="60"/>
      <c r="K34" s="63"/>
      <c r="L34" s="67"/>
      <c r="M34" s="67"/>
      <c r="N34" s="68"/>
    </row>
    <row r="35" spans="1:14" s="48" customFormat="1" x14ac:dyDescent="0.3">
      <c r="A35" s="59">
        <v>46031</v>
      </c>
      <c r="B35" s="60" t="s">
        <v>41</v>
      </c>
      <c r="C35" s="61" t="s">
        <v>27</v>
      </c>
      <c r="D35" s="60" t="s">
        <v>58</v>
      </c>
      <c r="E35" s="60">
        <v>0</v>
      </c>
      <c r="F35" s="60">
        <v>720</v>
      </c>
      <c r="G35" s="83">
        <v>0</v>
      </c>
      <c r="H35" s="124" t="s">
        <v>79</v>
      </c>
      <c r="I35" s="69"/>
      <c r="J35" s="60"/>
      <c r="K35" s="63"/>
      <c r="L35" s="67"/>
      <c r="M35" s="67"/>
      <c r="N35" s="68"/>
    </row>
    <row r="36" spans="1:14" s="48" customFormat="1" x14ac:dyDescent="0.3">
      <c r="A36" s="59">
        <v>46031</v>
      </c>
      <c r="B36" s="60" t="s">
        <v>41</v>
      </c>
      <c r="C36" s="61" t="s">
        <v>45</v>
      </c>
      <c r="D36" s="60" t="s">
        <v>58</v>
      </c>
      <c r="E36" s="60">
        <v>0</v>
      </c>
      <c r="F36" s="60">
        <v>720</v>
      </c>
      <c r="G36" s="83">
        <v>0</v>
      </c>
      <c r="H36" s="124" t="s">
        <v>79</v>
      </c>
      <c r="I36" s="69"/>
      <c r="J36" s="60"/>
      <c r="K36" s="63"/>
      <c r="L36" s="67"/>
      <c r="M36" s="67"/>
      <c r="N36" s="68"/>
    </row>
    <row r="37" spans="1:14" s="48" customFormat="1" x14ac:dyDescent="0.3">
      <c r="A37" s="59">
        <v>46032</v>
      </c>
      <c r="B37" s="60" t="s">
        <v>41</v>
      </c>
      <c r="C37" s="61" t="s">
        <v>27</v>
      </c>
      <c r="D37" s="60" t="s">
        <v>58</v>
      </c>
      <c r="E37" s="60">
        <v>0</v>
      </c>
      <c r="F37" s="60">
        <v>720</v>
      </c>
      <c r="G37" s="83">
        <v>0</v>
      </c>
      <c r="H37" s="124" t="s">
        <v>79</v>
      </c>
      <c r="I37" s="69"/>
      <c r="J37" s="60"/>
      <c r="K37" s="63"/>
      <c r="L37" s="67"/>
      <c r="M37" s="67"/>
      <c r="N37" s="68"/>
    </row>
    <row r="38" spans="1:14" s="48" customFormat="1" x14ac:dyDescent="0.3">
      <c r="A38" s="59">
        <v>46032</v>
      </c>
      <c r="B38" s="60" t="s">
        <v>41</v>
      </c>
      <c r="C38" s="61" t="s">
        <v>45</v>
      </c>
      <c r="D38" s="60" t="s">
        <v>58</v>
      </c>
      <c r="E38" s="60">
        <v>0</v>
      </c>
      <c r="F38" s="60">
        <v>720</v>
      </c>
      <c r="G38" s="83">
        <v>0</v>
      </c>
      <c r="H38" s="124" t="s">
        <v>79</v>
      </c>
      <c r="I38" s="69"/>
      <c r="J38" s="60"/>
      <c r="K38" s="63"/>
      <c r="L38" s="67"/>
      <c r="M38" s="67"/>
      <c r="N38" s="68"/>
    </row>
    <row r="39" spans="1:14" s="48" customFormat="1" x14ac:dyDescent="0.3">
      <c r="A39" s="59">
        <v>46033</v>
      </c>
      <c r="B39" s="60" t="s">
        <v>41</v>
      </c>
      <c r="C39" s="61" t="s">
        <v>27</v>
      </c>
      <c r="D39" s="60" t="s">
        <v>58</v>
      </c>
      <c r="E39" s="60">
        <v>0</v>
      </c>
      <c r="F39" s="60">
        <v>0</v>
      </c>
      <c r="G39" s="83">
        <v>0</v>
      </c>
      <c r="H39" s="50" t="s">
        <v>139</v>
      </c>
      <c r="I39" s="69"/>
      <c r="J39" s="60"/>
      <c r="K39" s="238"/>
      <c r="L39" s="239"/>
      <c r="M39" s="239"/>
      <c r="N39" s="240"/>
    </row>
    <row r="40" spans="1:14" s="48" customFormat="1" x14ac:dyDescent="0.3">
      <c r="A40" s="59">
        <v>46033</v>
      </c>
      <c r="B40" s="60" t="s">
        <v>41</v>
      </c>
      <c r="C40" s="61" t="s">
        <v>45</v>
      </c>
      <c r="D40" s="60" t="s">
        <v>48</v>
      </c>
      <c r="E40" s="60">
        <v>720</v>
      </c>
      <c r="F40" s="60">
        <v>0</v>
      </c>
      <c r="G40" s="83">
        <v>0</v>
      </c>
      <c r="H40" s="50" t="s">
        <v>129</v>
      </c>
      <c r="I40" s="69"/>
      <c r="J40" s="60"/>
      <c r="K40" s="63"/>
      <c r="L40" s="67"/>
      <c r="M40" s="67"/>
      <c r="N40" s="68"/>
    </row>
    <row r="41" spans="1:14" s="48" customFormat="1" x14ac:dyDescent="0.3">
      <c r="A41" s="59">
        <v>46034</v>
      </c>
      <c r="B41" s="60" t="s">
        <v>41</v>
      </c>
      <c r="C41" s="61" t="s">
        <v>27</v>
      </c>
      <c r="D41" s="60" t="s">
        <v>48</v>
      </c>
      <c r="E41" s="60">
        <v>360</v>
      </c>
      <c r="F41" s="60">
        <v>0</v>
      </c>
      <c r="G41" s="83">
        <v>0</v>
      </c>
      <c r="H41" s="50" t="s">
        <v>153</v>
      </c>
      <c r="I41" s="69" t="s">
        <v>53</v>
      </c>
      <c r="J41" s="60">
        <v>40079</v>
      </c>
      <c r="K41" s="238" t="s">
        <v>140</v>
      </c>
      <c r="L41" s="239"/>
      <c r="M41" s="239"/>
      <c r="N41" s="240"/>
    </row>
    <row r="42" spans="1:14" s="48" customFormat="1" x14ac:dyDescent="0.3">
      <c r="A42" s="59">
        <v>46034</v>
      </c>
      <c r="B42" s="60" t="s">
        <v>41</v>
      </c>
      <c r="C42" s="61" t="s">
        <v>27</v>
      </c>
      <c r="D42" s="60" t="s">
        <v>48</v>
      </c>
      <c r="E42" s="60">
        <v>360</v>
      </c>
      <c r="F42" s="60">
        <v>0</v>
      </c>
      <c r="G42" s="83">
        <v>0</v>
      </c>
      <c r="H42" s="50" t="s">
        <v>154</v>
      </c>
      <c r="I42" s="50" t="s">
        <v>135</v>
      </c>
      <c r="J42" s="60">
        <v>40080</v>
      </c>
      <c r="K42" s="63" t="s">
        <v>136</v>
      </c>
      <c r="L42" s="64"/>
      <c r="M42" s="64"/>
      <c r="N42" s="65"/>
    </row>
    <row r="43" spans="1:14" s="48" customFormat="1" x14ac:dyDescent="0.3">
      <c r="A43" s="59">
        <v>46034</v>
      </c>
      <c r="B43" s="60" t="s">
        <v>41</v>
      </c>
      <c r="C43" s="61" t="s">
        <v>45</v>
      </c>
      <c r="D43" s="60" t="s">
        <v>48</v>
      </c>
      <c r="E43" s="60">
        <v>720</v>
      </c>
      <c r="F43" s="60">
        <v>0</v>
      </c>
      <c r="G43" s="83">
        <v>0</v>
      </c>
      <c r="H43" s="50" t="s">
        <v>153</v>
      </c>
      <c r="I43" s="50" t="s">
        <v>75</v>
      </c>
      <c r="J43" s="60">
        <v>40081</v>
      </c>
      <c r="K43" s="238"/>
      <c r="L43" s="239"/>
      <c r="M43" s="239"/>
      <c r="N43" s="240"/>
    </row>
    <row r="44" spans="1:14" s="48" customFormat="1" x14ac:dyDescent="0.3">
      <c r="A44" s="59">
        <v>46035</v>
      </c>
      <c r="B44" s="60" t="s">
        <v>41</v>
      </c>
      <c r="C44" s="61" t="s">
        <v>27</v>
      </c>
      <c r="D44" s="60" t="s">
        <v>48</v>
      </c>
      <c r="E44" s="60">
        <v>120</v>
      </c>
      <c r="F44" s="60">
        <v>0</v>
      </c>
      <c r="G44" s="83">
        <v>0</v>
      </c>
      <c r="H44" s="50" t="s">
        <v>149</v>
      </c>
      <c r="I44" s="50" t="s">
        <v>51</v>
      </c>
      <c r="J44" s="60">
        <v>40082</v>
      </c>
      <c r="K44" s="63"/>
      <c r="L44" s="64"/>
      <c r="M44" s="64"/>
      <c r="N44" s="65"/>
    </row>
    <row r="45" spans="1:14" s="48" customFormat="1" x14ac:dyDescent="0.3">
      <c r="A45" s="59">
        <v>46035</v>
      </c>
      <c r="B45" s="60" t="s">
        <v>41</v>
      </c>
      <c r="C45" s="61" t="s">
        <v>45</v>
      </c>
      <c r="D45" s="60" t="s">
        <v>48</v>
      </c>
      <c r="E45" s="60">
        <v>600</v>
      </c>
      <c r="F45" s="60">
        <v>0</v>
      </c>
      <c r="G45" s="83">
        <v>0</v>
      </c>
      <c r="H45" s="50" t="s">
        <v>153</v>
      </c>
      <c r="I45" s="69" t="s">
        <v>53</v>
      </c>
      <c r="J45" s="60">
        <v>40079</v>
      </c>
      <c r="K45" s="238" t="s">
        <v>140</v>
      </c>
      <c r="L45" s="239"/>
      <c r="M45" s="239"/>
      <c r="N45" s="240"/>
    </row>
    <row r="46" spans="1:14" s="48" customFormat="1" x14ac:dyDescent="0.3">
      <c r="A46" s="59">
        <v>46035</v>
      </c>
      <c r="B46" s="60" t="s">
        <v>41</v>
      </c>
      <c r="C46" s="61" t="s">
        <v>45</v>
      </c>
      <c r="D46" s="60" t="s">
        <v>48</v>
      </c>
      <c r="E46" s="60">
        <v>0</v>
      </c>
      <c r="F46" s="60">
        <v>0</v>
      </c>
      <c r="G46" s="83">
        <v>0</v>
      </c>
      <c r="H46" s="50" t="s">
        <v>82</v>
      </c>
      <c r="I46" s="69"/>
      <c r="J46" s="60"/>
      <c r="K46" s="66"/>
      <c r="L46" s="67"/>
      <c r="M46" s="67"/>
      <c r="N46" s="68"/>
    </row>
    <row r="47" spans="1:14" s="48" customFormat="1" x14ac:dyDescent="0.3">
      <c r="A47" s="59">
        <v>46036</v>
      </c>
      <c r="B47" s="60" t="s">
        <v>41</v>
      </c>
      <c r="C47" s="61" t="s">
        <v>27</v>
      </c>
      <c r="D47" s="60" t="s">
        <v>48</v>
      </c>
      <c r="E47" s="60">
        <v>0</v>
      </c>
      <c r="F47" s="60">
        <v>0</v>
      </c>
      <c r="G47" s="83">
        <v>0</v>
      </c>
      <c r="H47" s="50" t="s">
        <v>165</v>
      </c>
      <c r="I47" s="69"/>
      <c r="J47" s="60"/>
      <c r="K47" s="238"/>
      <c r="L47" s="239"/>
      <c r="M47" s="239"/>
      <c r="N47" s="240"/>
    </row>
    <row r="48" spans="1:14" s="48" customFormat="1" x14ac:dyDescent="0.3">
      <c r="A48" s="59">
        <v>46036</v>
      </c>
      <c r="B48" s="60" t="s">
        <v>41</v>
      </c>
      <c r="C48" s="61" t="s">
        <v>45</v>
      </c>
      <c r="D48" s="60" t="s">
        <v>48</v>
      </c>
      <c r="E48" s="60">
        <v>0</v>
      </c>
      <c r="F48" s="60">
        <v>0</v>
      </c>
      <c r="G48" s="83">
        <v>0</v>
      </c>
      <c r="H48" s="50" t="s">
        <v>165</v>
      </c>
      <c r="I48" s="69"/>
      <c r="J48" s="60"/>
      <c r="K48" s="63"/>
      <c r="L48" s="67"/>
      <c r="M48" s="67"/>
      <c r="N48" s="68"/>
    </row>
    <row r="49" spans="1:14" s="48" customFormat="1" x14ac:dyDescent="0.3">
      <c r="A49" s="59">
        <v>46037</v>
      </c>
      <c r="B49" s="60" t="s">
        <v>41</v>
      </c>
      <c r="C49" s="61" t="s">
        <v>27</v>
      </c>
      <c r="D49" s="60" t="s">
        <v>48</v>
      </c>
      <c r="E49" s="60">
        <v>0</v>
      </c>
      <c r="F49" s="60">
        <v>0</v>
      </c>
      <c r="G49" s="83">
        <v>0</v>
      </c>
      <c r="H49" s="50" t="s">
        <v>165</v>
      </c>
      <c r="I49" s="69"/>
      <c r="J49" s="60"/>
      <c r="K49" s="241"/>
      <c r="L49" s="242"/>
      <c r="M49" s="242"/>
      <c r="N49" s="243"/>
    </row>
    <row r="50" spans="1:14" s="48" customFormat="1" x14ac:dyDescent="0.3">
      <c r="A50" s="59">
        <v>46037</v>
      </c>
      <c r="B50" s="60" t="s">
        <v>41</v>
      </c>
      <c r="C50" s="61" t="s">
        <v>45</v>
      </c>
      <c r="D50" s="60" t="s">
        <v>48</v>
      </c>
      <c r="E50" s="60">
        <v>0</v>
      </c>
      <c r="F50" s="60">
        <v>0</v>
      </c>
      <c r="G50" s="83">
        <v>0</v>
      </c>
      <c r="H50" s="50" t="s">
        <v>165</v>
      </c>
      <c r="I50" s="69"/>
      <c r="J50" s="60"/>
      <c r="K50" s="241"/>
      <c r="L50" s="242"/>
      <c r="M50" s="242"/>
      <c r="N50" s="243"/>
    </row>
    <row r="51" spans="1:14" s="48" customFormat="1" x14ac:dyDescent="0.3">
      <c r="A51" s="59">
        <v>46038</v>
      </c>
      <c r="B51" s="60" t="s">
        <v>41</v>
      </c>
      <c r="C51" s="61" t="s">
        <v>27</v>
      </c>
      <c r="D51" s="60" t="s">
        <v>48</v>
      </c>
      <c r="E51" s="60">
        <v>0</v>
      </c>
      <c r="F51" s="60">
        <v>0</v>
      </c>
      <c r="G51" s="83">
        <v>0</v>
      </c>
      <c r="H51" s="50" t="s">
        <v>165</v>
      </c>
      <c r="I51" s="69"/>
      <c r="J51" s="60"/>
      <c r="K51" s="238"/>
      <c r="L51" s="239"/>
      <c r="M51" s="239"/>
      <c r="N51" s="240"/>
    </row>
    <row r="52" spans="1:14" s="48" customFormat="1" x14ac:dyDescent="0.3">
      <c r="A52" s="59">
        <v>46038</v>
      </c>
      <c r="B52" s="60" t="s">
        <v>41</v>
      </c>
      <c r="C52" s="61" t="s">
        <v>45</v>
      </c>
      <c r="D52" s="60" t="s">
        <v>48</v>
      </c>
      <c r="E52" s="60">
        <v>0</v>
      </c>
      <c r="F52" s="60">
        <v>0</v>
      </c>
      <c r="G52" s="83">
        <v>0</v>
      </c>
      <c r="H52" s="50" t="s">
        <v>165</v>
      </c>
      <c r="I52" s="69"/>
      <c r="J52" s="60"/>
      <c r="K52" s="241"/>
      <c r="L52" s="242"/>
      <c r="M52" s="242"/>
      <c r="N52" s="243"/>
    </row>
    <row r="53" spans="1:14" s="48" customFormat="1" x14ac:dyDescent="0.3">
      <c r="A53" s="59">
        <v>46039</v>
      </c>
      <c r="B53" s="60" t="s">
        <v>41</v>
      </c>
      <c r="C53" s="61" t="s">
        <v>27</v>
      </c>
      <c r="D53" s="60" t="s">
        <v>48</v>
      </c>
      <c r="E53" s="60">
        <v>0</v>
      </c>
      <c r="F53" s="60">
        <v>0</v>
      </c>
      <c r="G53" s="83">
        <v>0</v>
      </c>
      <c r="H53" s="50" t="s">
        <v>165</v>
      </c>
      <c r="I53" s="69"/>
      <c r="J53" s="60"/>
      <c r="K53" s="238"/>
      <c r="L53" s="239"/>
      <c r="M53" s="239"/>
      <c r="N53" s="240"/>
    </row>
    <row r="54" spans="1:14" x14ac:dyDescent="0.3">
      <c r="A54" s="59">
        <v>46039</v>
      </c>
      <c r="B54" s="60" t="s">
        <v>41</v>
      </c>
      <c r="C54" s="61" t="s">
        <v>45</v>
      </c>
      <c r="D54" s="60" t="s">
        <v>48</v>
      </c>
      <c r="E54" s="60">
        <v>0</v>
      </c>
      <c r="F54" s="60">
        <v>0</v>
      </c>
      <c r="G54" s="83">
        <v>0</v>
      </c>
      <c r="H54" s="50" t="s">
        <v>165</v>
      </c>
      <c r="I54" s="69"/>
      <c r="J54" s="60"/>
      <c r="K54" s="238"/>
      <c r="L54" s="239"/>
      <c r="M54" s="239"/>
      <c r="N54" s="240"/>
    </row>
    <row r="55" spans="1:14" x14ac:dyDescent="0.3">
      <c r="A55" s="59">
        <v>46040</v>
      </c>
      <c r="B55" s="60" t="s">
        <v>41</v>
      </c>
      <c r="C55" s="61" t="s">
        <v>27</v>
      </c>
      <c r="D55" s="60" t="s">
        <v>48</v>
      </c>
      <c r="E55" s="60">
        <v>0</v>
      </c>
      <c r="F55" s="60">
        <v>0</v>
      </c>
      <c r="G55" s="83">
        <v>0</v>
      </c>
      <c r="H55" s="50" t="s">
        <v>165</v>
      </c>
      <c r="I55" s="69"/>
      <c r="J55" s="60"/>
      <c r="K55" s="238"/>
      <c r="L55" s="239"/>
      <c r="M55" s="239"/>
      <c r="N55" s="240"/>
    </row>
    <row r="56" spans="1:14" x14ac:dyDescent="0.3">
      <c r="A56" s="59">
        <v>46040</v>
      </c>
      <c r="B56" s="60" t="s">
        <v>41</v>
      </c>
      <c r="C56" s="61" t="s">
        <v>45</v>
      </c>
      <c r="D56" s="60" t="s">
        <v>48</v>
      </c>
      <c r="E56" s="60">
        <v>0</v>
      </c>
      <c r="F56" s="49">
        <v>0</v>
      </c>
      <c r="G56" s="52">
        <v>0</v>
      </c>
      <c r="H56" s="50" t="s">
        <v>165</v>
      </c>
      <c r="I56" s="69"/>
      <c r="J56" s="49"/>
      <c r="K56" s="241"/>
      <c r="L56" s="242"/>
      <c r="M56" s="242"/>
      <c r="N56" s="243"/>
    </row>
    <row r="57" spans="1:14" x14ac:dyDescent="0.3">
      <c r="A57" s="59">
        <v>46041</v>
      </c>
      <c r="B57" s="60" t="s">
        <v>41</v>
      </c>
      <c r="C57" s="61" t="s">
        <v>27</v>
      </c>
      <c r="D57" s="60" t="s">
        <v>48</v>
      </c>
      <c r="E57" s="60">
        <v>0</v>
      </c>
      <c r="F57" s="49">
        <v>0</v>
      </c>
      <c r="G57" s="52">
        <v>0</v>
      </c>
      <c r="H57" s="50" t="s">
        <v>165</v>
      </c>
      <c r="I57" s="69"/>
      <c r="J57" s="49"/>
      <c r="K57" s="238"/>
      <c r="L57" s="239"/>
      <c r="M57" s="239"/>
      <c r="N57" s="240"/>
    </row>
    <row r="58" spans="1:14" x14ac:dyDescent="0.3">
      <c r="A58" s="59">
        <v>46041</v>
      </c>
      <c r="B58" s="60" t="s">
        <v>41</v>
      </c>
      <c r="C58" s="61" t="s">
        <v>45</v>
      </c>
      <c r="D58" s="60" t="s">
        <v>48</v>
      </c>
      <c r="E58" s="60">
        <v>0</v>
      </c>
      <c r="F58" s="49">
        <v>0</v>
      </c>
      <c r="G58" s="52">
        <v>0</v>
      </c>
      <c r="H58" s="50" t="s">
        <v>165</v>
      </c>
      <c r="I58" s="69"/>
      <c r="J58" s="49"/>
      <c r="K58" s="238"/>
      <c r="L58" s="239"/>
      <c r="M58" s="239"/>
      <c r="N58" s="240"/>
    </row>
    <row r="59" spans="1:14" x14ac:dyDescent="0.3">
      <c r="A59" s="59">
        <v>46042</v>
      </c>
      <c r="B59" s="60" t="s">
        <v>41</v>
      </c>
      <c r="C59" s="61" t="s">
        <v>27</v>
      </c>
      <c r="D59" s="60" t="s">
        <v>48</v>
      </c>
      <c r="E59" s="60">
        <v>0</v>
      </c>
      <c r="F59" s="49">
        <v>0</v>
      </c>
      <c r="G59" s="52">
        <v>0</v>
      </c>
      <c r="H59" s="50" t="s">
        <v>165</v>
      </c>
      <c r="I59" s="69"/>
      <c r="J59" s="49"/>
      <c r="K59" s="238"/>
      <c r="L59" s="239"/>
      <c r="M59" s="239"/>
      <c r="N59" s="240"/>
    </row>
    <row r="60" spans="1:14" x14ac:dyDescent="0.3">
      <c r="A60" s="59">
        <v>46042</v>
      </c>
      <c r="B60" s="60" t="s">
        <v>41</v>
      </c>
      <c r="C60" s="61" t="s">
        <v>45</v>
      </c>
      <c r="D60" s="60" t="s">
        <v>48</v>
      </c>
      <c r="E60" s="60">
        <v>0</v>
      </c>
      <c r="F60" s="49">
        <v>0</v>
      </c>
      <c r="G60" s="52">
        <v>0</v>
      </c>
      <c r="H60" s="50" t="s">
        <v>165</v>
      </c>
      <c r="I60" s="69"/>
      <c r="J60" s="49"/>
      <c r="K60" s="66"/>
      <c r="L60" s="67"/>
      <c r="M60" s="67"/>
      <c r="N60" s="68"/>
    </row>
    <row r="61" spans="1:14" x14ac:dyDescent="0.3">
      <c r="A61" s="59">
        <v>46043</v>
      </c>
      <c r="B61" s="60" t="s">
        <v>41</v>
      </c>
      <c r="C61" s="61" t="s">
        <v>27</v>
      </c>
      <c r="D61" s="60" t="s">
        <v>48</v>
      </c>
      <c r="E61" s="60">
        <v>0</v>
      </c>
      <c r="F61" s="60">
        <v>0</v>
      </c>
      <c r="G61" s="83">
        <v>0</v>
      </c>
      <c r="H61" s="50" t="s">
        <v>165</v>
      </c>
      <c r="I61" s="69"/>
      <c r="J61" s="60"/>
      <c r="K61" s="238"/>
      <c r="L61" s="239"/>
      <c r="M61" s="239"/>
      <c r="N61" s="240"/>
    </row>
    <row r="62" spans="1:14" x14ac:dyDescent="0.3">
      <c r="A62" s="59">
        <v>46043</v>
      </c>
      <c r="B62" s="60" t="s">
        <v>41</v>
      </c>
      <c r="C62" s="61" t="s">
        <v>45</v>
      </c>
      <c r="D62" s="60" t="s">
        <v>48</v>
      </c>
      <c r="E62" s="60">
        <v>0</v>
      </c>
      <c r="F62" s="49">
        <v>0</v>
      </c>
      <c r="G62" s="52">
        <v>0</v>
      </c>
      <c r="H62" s="50" t="s">
        <v>165</v>
      </c>
      <c r="I62" s="69"/>
      <c r="J62" s="49"/>
      <c r="K62" s="238"/>
      <c r="L62" s="239"/>
      <c r="M62" s="239"/>
      <c r="N62" s="240"/>
    </row>
    <row r="63" spans="1:14" x14ac:dyDescent="0.3">
      <c r="A63" s="59">
        <v>46044</v>
      </c>
      <c r="B63" s="60" t="s">
        <v>41</v>
      </c>
      <c r="C63" s="61" t="s">
        <v>27</v>
      </c>
      <c r="D63" s="60" t="s">
        <v>48</v>
      </c>
      <c r="E63" s="60">
        <v>0</v>
      </c>
      <c r="F63" s="60">
        <v>0</v>
      </c>
      <c r="G63" s="83">
        <v>0</v>
      </c>
      <c r="H63" s="50" t="s">
        <v>165</v>
      </c>
      <c r="I63" s="69"/>
      <c r="J63" s="60"/>
      <c r="K63" s="238"/>
      <c r="L63" s="239"/>
      <c r="M63" s="239"/>
      <c r="N63" s="240"/>
    </row>
    <row r="64" spans="1:14" x14ac:dyDescent="0.3">
      <c r="A64" s="59">
        <v>46044</v>
      </c>
      <c r="B64" s="60" t="s">
        <v>41</v>
      </c>
      <c r="C64" s="61" t="s">
        <v>45</v>
      </c>
      <c r="D64" s="60" t="s">
        <v>48</v>
      </c>
      <c r="E64" s="60">
        <v>0</v>
      </c>
      <c r="F64" s="49">
        <v>0</v>
      </c>
      <c r="G64" s="52">
        <v>0</v>
      </c>
      <c r="H64" s="50" t="s">
        <v>165</v>
      </c>
      <c r="I64" s="69"/>
      <c r="J64" s="49"/>
      <c r="K64" s="63"/>
      <c r="L64" s="64"/>
      <c r="M64" s="64"/>
      <c r="N64" s="65"/>
    </row>
    <row r="65" spans="1:14" x14ac:dyDescent="0.3">
      <c r="A65" s="59">
        <v>46045</v>
      </c>
      <c r="B65" s="60" t="s">
        <v>41</v>
      </c>
      <c r="C65" s="61" t="s">
        <v>27</v>
      </c>
      <c r="D65" s="60" t="s">
        <v>48</v>
      </c>
      <c r="E65" s="60">
        <v>0</v>
      </c>
      <c r="F65" s="60">
        <v>0</v>
      </c>
      <c r="G65" s="83">
        <v>0</v>
      </c>
      <c r="H65" s="50" t="s">
        <v>165</v>
      </c>
      <c r="I65" s="69"/>
      <c r="J65" s="60"/>
      <c r="K65" s="238"/>
      <c r="L65" s="239"/>
      <c r="M65" s="239"/>
      <c r="N65" s="240"/>
    </row>
    <row r="66" spans="1:14" x14ac:dyDescent="0.3">
      <c r="A66" s="59">
        <v>46045</v>
      </c>
      <c r="B66" s="60" t="s">
        <v>41</v>
      </c>
      <c r="C66" s="61" t="s">
        <v>45</v>
      </c>
      <c r="D66" s="60" t="s">
        <v>48</v>
      </c>
      <c r="E66" s="60">
        <v>0</v>
      </c>
      <c r="F66" s="49">
        <v>0</v>
      </c>
      <c r="G66" s="52">
        <v>0</v>
      </c>
      <c r="H66" s="50" t="s">
        <v>165</v>
      </c>
      <c r="I66" s="69"/>
      <c r="J66" s="49"/>
      <c r="K66" s="241"/>
      <c r="L66" s="242"/>
      <c r="M66" s="242"/>
      <c r="N66" s="243"/>
    </row>
    <row r="67" spans="1:14" x14ac:dyDescent="0.3">
      <c r="A67" s="59">
        <v>46046</v>
      </c>
      <c r="B67" s="60" t="s">
        <v>41</v>
      </c>
      <c r="C67" s="61" t="s">
        <v>27</v>
      </c>
      <c r="D67" s="60" t="s">
        <v>48</v>
      </c>
      <c r="E67" s="60">
        <v>0</v>
      </c>
      <c r="F67" s="60">
        <v>0</v>
      </c>
      <c r="G67" s="83">
        <v>0</v>
      </c>
      <c r="H67" s="50" t="s">
        <v>165</v>
      </c>
      <c r="I67" s="69"/>
      <c r="J67" s="49"/>
      <c r="K67" s="238"/>
      <c r="L67" s="239"/>
      <c r="M67" s="239"/>
      <c r="N67" s="240"/>
    </row>
    <row r="68" spans="1:14" x14ac:dyDescent="0.3">
      <c r="A68" s="59">
        <v>46046</v>
      </c>
      <c r="B68" s="60" t="s">
        <v>41</v>
      </c>
      <c r="C68" s="61" t="s">
        <v>45</v>
      </c>
      <c r="D68" s="60" t="s">
        <v>48</v>
      </c>
      <c r="E68" s="60">
        <v>0</v>
      </c>
      <c r="F68" s="60">
        <v>0</v>
      </c>
      <c r="G68" s="83">
        <v>0</v>
      </c>
      <c r="H68" s="50" t="s">
        <v>165</v>
      </c>
      <c r="I68" s="70"/>
      <c r="J68" s="49"/>
      <c r="K68" s="241"/>
      <c r="L68" s="242"/>
      <c r="M68" s="242"/>
      <c r="N68" s="243"/>
    </row>
    <row r="69" spans="1:14" x14ac:dyDescent="0.3">
      <c r="A69" s="59">
        <v>46047</v>
      </c>
      <c r="B69" s="60" t="s">
        <v>41</v>
      </c>
      <c r="C69" s="61" t="s">
        <v>27</v>
      </c>
      <c r="D69" s="60" t="s">
        <v>48</v>
      </c>
      <c r="E69" s="60">
        <v>0</v>
      </c>
      <c r="F69" s="60">
        <v>0</v>
      </c>
      <c r="G69" s="83">
        <v>0</v>
      </c>
      <c r="H69" s="50" t="s">
        <v>165</v>
      </c>
      <c r="I69" s="69"/>
      <c r="J69" s="49"/>
      <c r="K69" s="238"/>
      <c r="L69" s="239"/>
      <c r="M69" s="239"/>
      <c r="N69" s="240"/>
    </row>
    <row r="70" spans="1:14" x14ac:dyDescent="0.3">
      <c r="A70" s="59">
        <v>46047</v>
      </c>
      <c r="B70" s="60" t="s">
        <v>41</v>
      </c>
      <c r="C70" s="61" t="s">
        <v>45</v>
      </c>
      <c r="D70" s="60" t="s">
        <v>48</v>
      </c>
      <c r="E70" s="60">
        <v>0</v>
      </c>
      <c r="F70" s="60">
        <v>0</v>
      </c>
      <c r="G70" s="83">
        <v>0</v>
      </c>
      <c r="H70" s="50" t="s">
        <v>165</v>
      </c>
      <c r="I70" s="70"/>
      <c r="J70" s="49"/>
      <c r="K70" s="241"/>
      <c r="L70" s="242"/>
      <c r="M70" s="242"/>
      <c r="N70" s="243"/>
    </row>
    <row r="71" spans="1:14" x14ac:dyDescent="0.3">
      <c r="A71" s="59">
        <v>46048</v>
      </c>
      <c r="B71" s="60" t="s">
        <v>41</v>
      </c>
      <c r="C71" s="61" t="s">
        <v>27</v>
      </c>
      <c r="D71" s="60" t="s">
        <v>48</v>
      </c>
      <c r="E71" s="60">
        <v>0</v>
      </c>
      <c r="F71" s="60">
        <v>0</v>
      </c>
      <c r="G71" s="83">
        <v>0</v>
      </c>
      <c r="H71" s="50" t="s">
        <v>165</v>
      </c>
      <c r="I71" s="70"/>
      <c r="J71" s="49"/>
      <c r="K71" s="238"/>
      <c r="L71" s="239"/>
      <c r="M71" s="239"/>
      <c r="N71" s="240"/>
    </row>
    <row r="72" spans="1:14" x14ac:dyDescent="0.3">
      <c r="A72" s="59">
        <v>46048</v>
      </c>
      <c r="B72" s="60" t="s">
        <v>41</v>
      </c>
      <c r="C72" s="61" t="s">
        <v>45</v>
      </c>
      <c r="D72" s="60" t="s">
        <v>48</v>
      </c>
      <c r="E72" s="60">
        <v>0</v>
      </c>
      <c r="F72" s="60">
        <v>0</v>
      </c>
      <c r="G72" s="83">
        <v>0</v>
      </c>
      <c r="H72" s="50" t="s">
        <v>165</v>
      </c>
      <c r="I72" s="70"/>
      <c r="J72" s="49"/>
      <c r="K72" s="241"/>
      <c r="L72" s="242"/>
      <c r="M72" s="242"/>
      <c r="N72" s="243"/>
    </row>
    <row r="73" spans="1:14" x14ac:dyDescent="0.3">
      <c r="A73" s="59">
        <v>46049</v>
      </c>
      <c r="B73" s="60" t="s">
        <v>41</v>
      </c>
      <c r="C73" s="61" t="s">
        <v>27</v>
      </c>
      <c r="D73" s="60" t="s">
        <v>48</v>
      </c>
      <c r="E73" s="60">
        <v>0</v>
      </c>
      <c r="F73" s="60">
        <v>0</v>
      </c>
      <c r="G73" s="83">
        <v>0</v>
      </c>
      <c r="H73" s="50" t="s">
        <v>165</v>
      </c>
      <c r="I73" s="70"/>
      <c r="J73" s="49"/>
      <c r="K73" s="238"/>
      <c r="L73" s="239"/>
      <c r="M73" s="239"/>
      <c r="N73" s="240"/>
    </row>
    <row r="74" spans="1:14" x14ac:dyDescent="0.3">
      <c r="A74" s="59">
        <v>46049</v>
      </c>
      <c r="B74" s="60" t="s">
        <v>41</v>
      </c>
      <c r="C74" s="61" t="s">
        <v>45</v>
      </c>
      <c r="D74" s="60" t="s">
        <v>48</v>
      </c>
      <c r="E74" s="60">
        <v>0</v>
      </c>
      <c r="F74" s="60">
        <v>0</v>
      </c>
      <c r="G74" s="83">
        <v>0</v>
      </c>
      <c r="H74" s="50" t="s">
        <v>165</v>
      </c>
      <c r="I74" s="69"/>
      <c r="J74" s="49"/>
      <c r="K74" s="238"/>
      <c r="L74" s="239"/>
      <c r="M74" s="239"/>
      <c r="N74" s="240"/>
    </row>
    <row r="75" spans="1:14" x14ac:dyDescent="0.3">
      <c r="A75" s="59">
        <v>46050</v>
      </c>
      <c r="B75" s="60" t="s">
        <v>39</v>
      </c>
      <c r="C75" s="61" t="s">
        <v>27</v>
      </c>
      <c r="D75" s="60" t="s">
        <v>48</v>
      </c>
      <c r="E75" s="60">
        <v>0</v>
      </c>
      <c r="F75" s="60">
        <v>0</v>
      </c>
      <c r="G75" s="83">
        <v>0</v>
      </c>
      <c r="H75" s="50" t="s">
        <v>165</v>
      </c>
      <c r="I75" s="62"/>
      <c r="J75" s="60"/>
      <c r="K75" s="238"/>
      <c r="L75" s="239"/>
      <c r="M75" s="239"/>
      <c r="N75" s="240"/>
    </row>
    <row r="76" spans="1:14" ht="15.6" x14ac:dyDescent="0.3">
      <c r="A76" s="59">
        <v>46050</v>
      </c>
      <c r="B76" s="60" t="s">
        <v>39</v>
      </c>
      <c r="C76" s="61" t="s">
        <v>45</v>
      </c>
      <c r="D76" s="60" t="s">
        <v>48</v>
      </c>
      <c r="E76" s="60">
        <v>0</v>
      </c>
      <c r="F76" s="60">
        <v>0</v>
      </c>
      <c r="G76" s="83">
        <v>0</v>
      </c>
      <c r="H76" s="50" t="s">
        <v>165</v>
      </c>
      <c r="I76" s="71"/>
      <c r="J76" s="60"/>
      <c r="K76" s="72"/>
      <c r="L76" s="73"/>
      <c r="M76" s="73"/>
      <c r="N76" s="74"/>
    </row>
    <row r="77" spans="1:14" ht="15.6" x14ac:dyDescent="0.3">
      <c r="A77" s="59">
        <v>46051</v>
      </c>
      <c r="B77" s="60" t="s">
        <v>39</v>
      </c>
      <c r="C77" s="61" t="s">
        <v>27</v>
      </c>
      <c r="D77" s="60" t="s">
        <v>48</v>
      </c>
      <c r="E77" s="60">
        <v>0</v>
      </c>
      <c r="F77" s="60">
        <v>0</v>
      </c>
      <c r="G77" s="83">
        <v>0</v>
      </c>
      <c r="H77" s="50" t="s">
        <v>165</v>
      </c>
      <c r="I77" s="71"/>
      <c r="J77" s="60"/>
      <c r="K77" s="72"/>
      <c r="L77" s="73"/>
      <c r="M77" s="73"/>
      <c r="N77" s="74"/>
    </row>
    <row r="78" spans="1:14" ht="15.6" x14ac:dyDescent="0.3">
      <c r="A78" s="59">
        <v>46051</v>
      </c>
      <c r="B78" s="60" t="s">
        <v>39</v>
      </c>
      <c r="C78" s="61" t="s">
        <v>27</v>
      </c>
      <c r="D78" s="60" t="s">
        <v>48</v>
      </c>
      <c r="E78" s="60">
        <v>0</v>
      </c>
      <c r="F78" s="60">
        <v>0</v>
      </c>
      <c r="G78" s="83">
        <v>0</v>
      </c>
      <c r="H78" s="50" t="s">
        <v>165</v>
      </c>
      <c r="I78" s="71"/>
      <c r="J78" s="60"/>
      <c r="K78" s="235"/>
      <c r="L78" s="236"/>
      <c r="M78" s="236"/>
      <c r="N78" s="237"/>
    </row>
    <row r="79" spans="1:14" ht="15.6" x14ac:dyDescent="0.3">
      <c r="A79" s="59">
        <v>46052</v>
      </c>
      <c r="B79" s="60" t="s">
        <v>39</v>
      </c>
      <c r="C79" s="61" t="s">
        <v>45</v>
      </c>
      <c r="D79" s="60" t="s">
        <v>48</v>
      </c>
      <c r="E79" s="60">
        <v>0</v>
      </c>
      <c r="F79" s="60">
        <v>0</v>
      </c>
      <c r="G79" s="83">
        <v>0</v>
      </c>
      <c r="H79" s="50" t="s">
        <v>165</v>
      </c>
      <c r="I79" s="71"/>
      <c r="J79" s="60"/>
      <c r="K79" s="72"/>
      <c r="L79" s="73"/>
      <c r="M79" s="73"/>
      <c r="N79" s="74"/>
    </row>
    <row r="80" spans="1:14" ht="15.6" x14ac:dyDescent="0.3">
      <c r="A80" s="59">
        <v>46052</v>
      </c>
      <c r="B80" s="60" t="s">
        <v>39</v>
      </c>
      <c r="C80" s="61" t="s">
        <v>45</v>
      </c>
      <c r="D80" s="60" t="s">
        <v>48</v>
      </c>
      <c r="E80" s="60">
        <v>0</v>
      </c>
      <c r="F80" s="60">
        <v>0</v>
      </c>
      <c r="G80" s="83">
        <v>0</v>
      </c>
      <c r="H80" s="50" t="s">
        <v>165</v>
      </c>
      <c r="I80" s="71"/>
      <c r="J80" s="60"/>
      <c r="K80" s="72"/>
      <c r="L80" s="73"/>
      <c r="M80" s="73"/>
      <c r="N80" s="74"/>
    </row>
    <row r="81" spans="1:14" ht="15.6" x14ac:dyDescent="0.3">
      <c r="A81" s="59">
        <v>46053</v>
      </c>
      <c r="B81" s="60" t="s">
        <v>39</v>
      </c>
      <c r="C81" s="61" t="s">
        <v>27</v>
      </c>
      <c r="D81" s="60" t="s">
        <v>48</v>
      </c>
      <c r="E81" s="60">
        <v>0</v>
      </c>
      <c r="F81" s="60">
        <v>0</v>
      </c>
      <c r="G81" s="83">
        <v>0</v>
      </c>
      <c r="H81" s="50" t="s">
        <v>165</v>
      </c>
      <c r="I81" s="71"/>
      <c r="J81" s="60"/>
      <c r="K81" s="235"/>
      <c r="L81" s="236"/>
      <c r="M81" s="236"/>
      <c r="N81" s="237"/>
    </row>
    <row r="82" spans="1:14" ht="15.6" x14ac:dyDescent="0.3">
      <c r="A82" s="59">
        <v>46053</v>
      </c>
      <c r="B82" s="60" t="s">
        <v>39</v>
      </c>
      <c r="C82" s="61" t="s">
        <v>45</v>
      </c>
      <c r="D82" s="60" t="s">
        <v>48</v>
      </c>
      <c r="E82" s="60">
        <v>0</v>
      </c>
      <c r="F82" s="60">
        <v>0</v>
      </c>
      <c r="G82" s="83">
        <v>0</v>
      </c>
      <c r="H82" s="50" t="s">
        <v>165</v>
      </c>
      <c r="I82" s="71"/>
      <c r="J82" s="60"/>
      <c r="K82" s="72"/>
      <c r="L82" s="73"/>
      <c r="M82" s="73"/>
      <c r="N82" s="74"/>
    </row>
    <row r="83" spans="1:14" ht="23.4" x14ac:dyDescent="0.45">
      <c r="A83" s="303" t="s">
        <v>63</v>
      </c>
      <c r="B83" s="304"/>
      <c r="C83" s="304"/>
      <c r="D83" s="305"/>
      <c r="E83" s="104">
        <f>SUM(E16:E82)</f>
        <v>2880</v>
      </c>
      <c r="F83" s="104">
        <f>SUM(F16:F82)</f>
        <v>7065</v>
      </c>
      <c r="G83" s="105">
        <f>SUM(G16:G82)</f>
        <v>95</v>
      </c>
      <c r="H83" s="106"/>
      <c r="I83" s="106"/>
      <c r="J83" s="104"/>
      <c r="K83" s="103"/>
      <c r="L83" s="103"/>
      <c r="M83" s="103"/>
      <c r="N83" s="103"/>
    </row>
    <row r="84" spans="1:14" x14ac:dyDescent="0.3">
      <c r="F84" s="14"/>
    </row>
    <row r="85" spans="1:14" x14ac:dyDescent="0.3">
      <c r="A85" t="s">
        <v>273</v>
      </c>
      <c r="F85" s="14"/>
    </row>
    <row r="86" spans="1:14" x14ac:dyDescent="0.3">
      <c r="C86" t="s">
        <v>275</v>
      </c>
      <c r="D86" s="295">
        <f>E83+G83</f>
        <v>2975</v>
      </c>
      <c r="E86" s="296"/>
      <c r="F86" s="14"/>
    </row>
    <row r="87" spans="1:14" x14ac:dyDescent="0.3">
      <c r="C87" t="s">
        <v>274</v>
      </c>
      <c r="D87" s="296">
        <f>F83</f>
        <v>7065</v>
      </c>
      <c r="E87" s="296"/>
    </row>
  </sheetData>
  <mergeCells count="57">
    <mergeCell ref="K78:N78"/>
    <mergeCell ref="K81:N81"/>
    <mergeCell ref="A83:D83"/>
    <mergeCell ref="K72:N72"/>
    <mergeCell ref="K73:N73"/>
    <mergeCell ref="K75:N75"/>
    <mergeCell ref="K74:N74"/>
    <mergeCell ref="K47:N47"/>
    <mergeCell ref="K71:N71"/>
    <mergeCell ref="K58:N58"/>
    <mergeCell ref="K59:N59"/>
    <mergeCell ref="K61:N61"/>
    <mergeCell ref="K62:N62"/>
    <mergeCell ref="K63:N63"/>
    <mergeCell ref="K65:N65"/>
    <mergeCell ref="K66:N66"/>
    <mergeCell ref="K68:N68"/>
    <mergeCell ref="K69:N69"/>
    <mergeCell ref="K70:N70"/>
    <mergeCell ref="K67:N67"/>
    <mergeCell ref="K24:N24"/>
    <mergeCell ref="K28:N28"/>
    <mergeCell ref="K57:N57"/>
    <mergeCell ref="K31:N31"/>
    <mergeCell ref="K39:N39"/>
    <mergeCell ref="K43:N43"/>
    <mergeCell ref="K49:N49"/>
    <mergeCell ref="K50:N50"/>
    <mergeCell ref="K51:N51"/>
    <mergeCell ref="K52:N52"/>
    <mergeCell ref="K53:N53"/>
    <mergeCell ref="K54:N54"/>
    <mergeCell ref="K55:N55"/>
    <mergeCell ref="K56:N56"/>
    <mergeCell ref="K41:N41"/>
    <mergeCell ref="K45:N45"/>
    <mergeCell ref="K16:N16"/>
    <mergeCell ref="K17:N17"/>
    <mergeCell ref="K18:N18"/>
    <mergeCell ref="K21:N21"/>
    <mergeCell ref="K23:N23"/>
    <mergeCell ref="D86:E86"/>
    <mergeCell ref="D87:E87"/>
    <mergeCell ref="A4:K4"/>
    <mergeCell ref="L4:N4"/>
    <mergeCell ref="A5:K5"/>
    <mergeCell ref="A6:A7"/>
    <mergeCell ref="B6:C6"/>
    <mergeCell ref="B7:C7"/>
    <mergeCell ref="K7:K9"/>
    <mergeCell ref="A8:A9"/>
    <mergeCell ref="B8:C8"/>
    <mergeCell ref="B9:C9"/>
    <mergeCell ref="K30:N30"/>
    <mergeCell ref="A10:N12"/>
    <mergeCell ref="A14:N14"/>
    <mergeCell ref="K15:N15"/>
  </mergeCells>
  <phoneticPr fontId="11" type="noConversion"/>
  <dataValidations count="1">
    <dataValidation type="list" allowBlank="1" showInputMessage="1" showErrorMessage="1" sqref="I69 I16:I20 I23:I33 I35:I41 I45:I67 I74:I82 B16:D82" xr:uid="{00000000-0002-0000-0300-000000000000}">
      <formula1>#REF!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80"/>
  <sheetViews>
    <sheetView topLeftCell="A63" workbookViewId="0">
      <selection activeCell="H83" sqref="H83"/>
    </sheetView>
  </sheetViews>
  <sheetFormatPr defaultRowHeight="14.4" x14ac:dyDescent="0.3"/>
  <cols>
    <col min="1" max="1" width="12.5546875" customWidth="1"/>
    <col min="2" max="2" width="10" customWidth="1"/>
    <col min="3" max="3" width="13.109375" customWidth="1"/>
    <col min="4" max="5" width="15" customWidth="1"/>
    <col min="6" max="6" width="13.33203125" bestFit="1" customWidth="1"/>
    <col min="7" max="7" width="14.88671875" style="14" customWidth="1"/>
    <col min="8" max="8" width="61.44140625" style="31" customWidth="1"/>
    <col min="9" max="9" width="17.88671875" style="14" customWidth="1"/>
    <col min="10" max="10" width="19.109375" style="14" customWidth="1"/>
    <col min="11" max="11" width="27.109375" customWidth="1"/>
    <col min="12" max="12" width="15.88671875" bestFit="1" customWidth="1"/>
    <col min="13" max="13" width="14.44140625" bestFit="1" customWidth="1"/>
    <col min="14" max="14" width="14.6640625" customWidth="1"/>
  </cols>
  <sheetData>
    <row r="1" spans="1:14" x14ac:dyDescent="0.3">
      <c r="A1" s="16"/>
      <c r="B1" s="17"/>
      <c r="C1" s="17"/>
      <c r="D1" s="17"/>
      <c r="E1" s="17"/>
      <c r="F1" s="17"/>
      <c r="G1" s="18"/>
      <c r="H1" s="30"/>
      <c r="I1" s="18"/>
      <c r="J1" s="18"/>
      <c r="K1" s="17"/>
      <c r="L1" s="17"/>
      <c r="M1" s="17"/>
      <c r="N1" s="19"/>
    </row>
    <row r="2" spans="1:14" x14ac:dyDescent="0.3">
      <c r="A2" s="20"/>
      <c r="N2" s="21"/>
    </row>
    <row r="3" spans="1:14" ht="15" thickBot="1" x14ac:dyDescent="0.35">
      <c r="A3" s="20"/>
      <c r="N3" s="21"/>
    </row>
    <row r="4" spans="1:14" ht="21.6" customHeight="1" thickBot="1" x14ac:dyDescent="0.45">
      <c r="A4" s="244" t="s">
        <v>171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6"/>
      <c r="M4" s="247"/>
      <c r="N4" s="248"/>
    </row>
    <row r="5" spans="1:14" ht="18.600000000000001" thickBot="1" x14ac:dyDescent="0.4">
      <c r="A5" s="249" t="s">
        <v>172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L5" s="22"/>
      <c r="M5" s="22"/>
      <c r="N5" s="23"/>
    </row>
    <row r="6" spans="1:14" ht="50.25" hidden="1" customHeight="1" x14ac:dyDescent="0.3">
      <c r="A6" s="252" t="s">
        <v>0</v>
      </c>
      <c r="B6" s="253" t="s">
        <v>1</v>
      </c>
      <c r="C6" s="253"/>
      <c r="D6" s="5" t="s">
        <v>2</v>
      </c>
      <c r="E6" s="5"/>
      <c r="F6" s="5"/>
      <c r="G6" s="10" t="s">
        <v>3</v>
      </c>
      <c r="H6" s="43" t="s">
        <v>4</v>
      </c>
      <c r="I6" s="11" t="s">
        <v>5</v>
      </c>
      <c r="J6" s="15" t="s">
        <v>6</v>
      </c>
      <c r="K6" s="7" t="s">
        <v>7</v>
      </c>
      <c r="L6" s="22"/>
      <c r="M6" s="22"/>
      <c r="N6" s="23"/>
    </row>
    <row r="7" spans="1:14" ht="18.600000000000001" hidden="1" thickBot="1" x14ac:dyDescent="0.4">
      <c r="A7" s="252"/>
      <c r="B7" s="254" t="s">
        <v>8</v>
      </c>
      <c r="C7" s="255"/>
      <c r="D7" s="8" t="s">
        <v>9</v>
      </c>
      <c r="E7" s="8"/>
      <c r="F7" s="8"/>
      <c r="G7" s="8" t="s">
        <v>10</v>
      </c>
      <c r="H7" s="44" t="s">
        <v>9</v>
      </c>
      <c r="I7" s="8" t="s">
        <v>10</v>
      </c>
      <c r="J7" s="9" t="s">
        <v>11</v>
      </c>
      <c r="K7" s="256" t="s">
        <v>12</v>
      </c>
      <c r="L7" s="22"/>
      <c r="M7" s="22"/>
      <c r="N7" s="23"/>
    </row>
    <row r="8" spans="1:14" ht="29.4" hidden="1" thickBot="1" x14ac:dyDescent="0.35">
      <c r="A8" s="252" t="s">
        <v>13</v>
      </c>
      <c r="B8" s="252" t="s">
        <v>14</v>
      </c>
      <c r="C8" s="252"/>
      <c r="D8" s="10" t="s">
        <v>15</v>
      </c>
      <c r="E8" s="10"/>
      <c r="F8" s="10"/>
      <c r="G8" s="11" t="s">
        <v>3</v>
      </c>
      <c r="H8" s="43" t="s">
        <v>4</v>
      </c>
      <c r="I8" s="11" t="s">
        <v>5</v>
      </c>
      <c r="J8" s="12" t="s">
        <v>6</v>
      </c>
      <c r="K8" s="257"/>
      <c r="L8" s="22"/>
      <c r="M8" s="22"/>
      <c r="N8" s="23"/>
    </row>
    <row r="9" spans="1:14" ht="18.600000000000001" hidden="1" thickBot="1" x14ac:dyDescent="0.4">
      <c r="A9" s="252"/>
      <c r="B9" s="254" t="s">
        <v>9</v>
      </c>
      <c r="C9" s="255"/>
      <c r="D9" s="8" t="s">
        <v>8</v>
      </c>
      <c r="E9" s="8"/>
      <c r="F9" s="8"/>
      <c r="G9" s="8" t="s">
        <v>10</v>
      </c>
      <c r="H9" s="44" t="s">
        <v>16</v>
      </c>
      <c r="I9" s="8" t="s">
        <v>17</v>
      </c>
      <c r="J9" s="9" t="s">
        <v>18</v>
      </c>
      <c r="K9" s="258"/>
      <c r="L9" s="22"/>
      <c r="M9" s="22"/>
      <c r="N9" s="23"/>
    </row>
    <row r="10" spans="1:14" x14ac:dyDescent="0.3">
      <c r="A10" s="262"/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4"/>
    </row>
    <row r="11" spans="1:14" x14ac:dyDescent="0.3">
      <c r="A11" s="265"/>
      <c r="B11" s="266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7"/>
    </row>
    <row r="12" spans="1:14" ht="34.5" customHeight="1" thickBot="1" x14ac:dyDescent="0.35">
      <c r="A12" s="265"/>
      <c r="B12" s="266"/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9"/>
    </row>
    <row r="13" spans="1:14" ht="48.75" customHeight="1" thickBot="1" x14ac:dyDescent="0.35">
      <c r="A13" s="53" t="s">
        <v>28</v>
      </c>
      <c r="B13" s="54">
        <v>31</v>
      </c>
      <c r="C13" s="54" t="s">
        <v>29</v>
      </c>
      <c r="D13" s="55">
        <v>0</v>
      </c>
      <c r="E13" s="55"/>
      <c r="F13" s="55"/>
      <c r="G13" s="54" t="s">
        <v>30</v>
      </c>
      <c r="H13" s="54">
        <f>+B13-D13</f>
        <v>31</v>
      </c>
      <c r="I13" s="54" t="s">
        <v>31</v>
      </c>
      <c r="J13" s="54">
        <v>2</v>
      </c>
      <c r="K13" s="54" t="s">
        <v>52</v>
      </c>
      <c r="L13" s="55">
        <v>720</v>
      </c>
      <c r="M13" s="54" t="s">
        <v>33</v>
      </c>
      <c r="N13" s="56">
        <v>0</v>
      </c>
    </row>
    <row r="14" spans="1:14" ht="21.6" thickBot="1" x14ac:dyDescent="0.45">
      <c r="A14" s="270" t="s">
        <v>183</v>
      </c>
      <c r="B14" s="271"/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3"/>
    </row>
    <row r="15" spans="1:14" ht="63" customHeight="1" x14ac:dyDescent="0.3">
      <c r="A15" s="57" t="s">
        <v>19</v>
      </c>
      <c r="B15" s="54" t="s">
        <v>20</v>
      </c>
      <c r="C15" s="54" t="s">
        <v>21</v>
      </c>
      <c r="D15" s="55" t="s">
        <v>22</v>
      </c>
      <c r="E15" s="58" t="s">
        <v>49</v>
      </c>
      <c r="F15" s="58" t="s">
        <v>57</v>
      </c>
      <c r="G15" s="58" t="s">
        <v>56</v>
      </c>
      <c r="H15" s="75" t="s">
        <v>23</v>
      </c>
      <c r="I15" s="58" t="s">
        <v>24</v>
      </c>
      <c r="J15" s="58" t="s">
        <v>32</v>
      </c>
      <c r="K15" s="297" t="s">
        <v>25</v>
      </c>
      <c r="L15" s="298"/>
      <c r="M15" s="298"/>
      <c r="N15" s="299"/>
    </row>
    <row r="16" spans="1:14" ht="17.25" customHeight="1" x14ac:dyDescent="0.3">
      <c r="A16" s="59">
        <v>46023</v>
      </c>
      <c r="B16" s="60" t="s">
        <v>42</v>
      </c>
      <c r="C16" s="61" t="s">
        <v>27</v>
      </c>
      <c r="D16" s="60" t="s">
        <v>48</v>
      </c>
      <c r="E16" s="61">
        <v>0</v>
      </c>
      <c r="F16" s="61">
        <v>0</v>
      </c>
      <c r="G16" s="83">
        <v>720</v>
      </c>
      <c r="H16" s="50" t="s">
        <v>64</v>
      </c>
      <c r="I16" s="69"/>
      <c r="J16" s="49"/>
      <c r="K16" s="309" t="s">
        <v>185</v>
      </c>
      <c r="L16" s="310"/>
      <c r="M16" s="310"/>
      <c r="N16" s="311"/>
    </row>
    <row r="17" spans="1:14" ht="17.25" customHeight="1" x14ac:dyDescent="0.3">
      <c r="A17" s="59">
        <v>46023</v>
      </c>
      <c r="B17" s="60" t="s">
        <v>42</v>
      </c>
      <c r="C17" s="61" t="s">
        <v>45</v>
      </c>
      <c r="D17" s="60" t="s">
        <v>48</v>
      </c>
      <c r="E17" s="61">
        <v>0</v>
      </c>
      <c r="F17" s="61">
        <v>0</v>
      </c>
      <c r="G17" s="83">
        <v>720</v>
      </c>
      <c r="H17" s="50" t="s">
        <v>64</v>
      </c>
      <c r="I17" s="69"/>
      <c r="J17" s="49"/>
      <c r="K17" s="66"/>
      <c r="L17" s="67"/>
      <c r="M17" s="67"/>
      <c r="N17" s="68"/>
    </row>
    <row r="18" spans="1:14" ht="17.25" customHeight="1" x14ac:dyDescent="0.3">
      <c r="A18" s="59">
        <v>46024</v>
      </c>
      <c r="B18" s="60" t="s">
        <v>42</v>
      </c>
      <c r="C18" s="61" t="s">
        <v>27</v>
      </c>
      <c r="D18" s="60" t="s">
        <v>48</v>
      </c>
      <c r="E18" s="61">
        <v>0</v>
      </c>
      <c r="F18" s="61">
        <v>0</v>
      </c>
      <c r="G18" s="83">
        <v>720</v>
      </c>
      <c r="H18" s="69" t="s">
        <v>169</v>
      </c>
      <c r="I18" s="70"/>
      <c r="J18" s="49"/>
      <c r="K18" s="238"/>
      <c r="L18" s="239"/>
      <c r="M18" s="239"/>
      <c r="N18" s="240"/>
    </row>
    <row r="19" spans="1:14" ht="17.25" customHeight="1" x14ac:dyDescent="0.3">
      <c r="A19" s="59">
        <v>46024</v>
      </c>
      <c r="B19" s="60" t="s">
        <v>42</v>
      </c>
      <c r="C19" s="61" t="s">
        <v>45</v>
      </c>
      <c r="D19" s="60" t="s">
        <v>48</v>
      </c>
      <c r="E19" s="61">
        <v>0</v>
      </c>
      <c r="F19" s="61">
        <v>0</v>
      </c>
      <c r="G19" s="83">
        <v>720</v>
      </c>
      <c r="H19" s="69" t="s">
        <v>169</v>
      </c>
      <c r="I19" s="69"/>
      <c r="J19" s="49"/>
      <c r="K19" s="76"/>
      <c r="L19" s="67"/>
      <c r="M19" s="67"/>
      <c r="N19" s="68"/>
    </row>
    <row r="20" spans="1:14" ht="17.25" customHeight="1" x14ac:dyDescent="0.3">
      <c r="A20" s="59">
        <v>46025</v>
      </c>
      <c r="B20" s="60" t="s">
        <v>42</v>
      </c>
      <c r="C20" s="61" t="s">
        <v>27</v>
      </c>
      <c r="D20" s="60" t="s">
        <v>48</v>
      </c>
      <c r="E20" s="61">
        <v>0</v>
      </c>
      <c r="F20" s="61">
        <v>0</v>
      </c>
      <c r="G20" s="83">
        <v>720</v>
      </c>
      <c r="H20" s="69" t="s">
        <v>169</v>
      </c>
      <c r="I20" s="70"/>
      <c r="J20" s="49"/>
      <c r="K20" s="238"/>
      <c r="L20" s="239"/>
      <c r="M20" s="239"/>
      <c r="N20" s="240"/>
    </row>
    <row r="21" spans="1:14" ht="17.25" customHeight="1" x14ac:dyDescent="0.3">
      <c r="A21" s="59">
        <v>46025</v>
      </c>
      <c r="B21" s="60" t="s">
        <v>42</v>
      </c>
      <c r="C21" s="61" t="s">
        <v>45</v>
      </c>
      <c r="D21" s="60" t="s">
        <v>48</v>
      </c>
      <c r="E21" s="61">
        <v>0</v>
      </c>
      <c r="F21" s="61">
        <v>0</v>
      </c>
      <c r="G21" s="83">
        <v>720</v>
      </c>
      <c r="H21" s="69" t="s">
        <v>169</v>
      </c>
      <c r="I21" s="69"/>
      <c r="J21" s="49"/>
      <c r="K21" s="76"/>
      <c r="L21" s="67"/>
      <c r="M21" s="67"/>
      <c r="N21" s="68"/>
    </row>
    <row r="22" spans="1:14" ht="17.25" customHeight="1" x14ac:dyDescent="0.3">
      <c r="A22" s="59">
        <v>46026</v>
      </c>
      <c r="B22" s="60" t="s">
        <v>42</v>
      </c>
      <c r="C22" s="61" t="s">
        <v>27</v>
      </c>
      <c r="D22" s="60" t="s">
        <v>48</v>
      </c>
      <c r="E22" s="61">
        <v>0</v>
      </c>
      <c r="F22" s="61">
        <v>0</v>
      </c>
      <c r="G22" s="83">
        <v>720</v>
      </c>
      <c r="H22" s="69" t="s">
        <v>169</v>
      </c>
      <c r="I22" s="70"/>
      <c r="J22" s="49"/>
      <c r="K22" s="238"/>
      <c r="L22" s="239"/>
      <c r="M22" s="239"/>
      <c r="N22" s="240"/>
    </row>
    <row r="23" spans="1:14" ht="17.25" customHeight="1" x14ac:dyDescent="0.3">
      <c r="A23" s="59">
        <v>46026</v>
      </c>
      <c r="B23" s="60" t="s">
        <v>42</v>
      </c>
      <c r="C23" s="61" t="s">
        <v>45</v>
      </c>
      <c r="D23" s="60" t="s">
        <v>48</v>
      </c>
      <c r="E23" s="61">
        <v>0</v>
      </c>
      <c r="F23" s="61">
        <v>0</v>
      </c>
      <c r="G23" s="83">
        <v>720</v>
      </c>
      <c r="H23" s="69" t="s">
        <v>169</v>
      </c>
      <c r="I23" s="69"/>
      <c r="J23" s="49"/>
      <c r="K23" s="76"/>
      <c r="L23" s="67"/>
      <c r="M23" s="67"/>
      <c r="N23" s="68"/>
    </row>
    <row r="24" spans="1:14" ht="17.25" customHeight="1" x14ac:dyDescent="0.3">
      <c r="A24" s="59">
        <v>46027</v>
      </c>
      <c r="B24" s="60" t="s">
        <v>42</v>
      </c>
      <c r="C24" s="61" t="s">
        <v>27</v>
      </c>
      <c r="D24" s="60" t="s">
        <v>48</v>
      </c>
      <c r="E24" s="61">
        <v>0</v>
      </c>
      <c r="F24" s="61">
        <v>0</v>
      </c>
      <c r="G24" s="83">
        <v>720</v>
      </c>
      <c r="H24" s="69" t="s">
        <v>169</v>
      </c>
      <c r="I24" s="70"/>
      <c r="J24" s="49"/>
      <c r="K24" s="238"/>
      <c r="L24" s="239"/>
      <c r="M24" s="239"/>
      <c r="N24" s="240"/>
    </row>
    <row r="25" spans="1:14" ht="17.25" customHeight="1" x14ac:dyDescent="0.3">
      <c r="A25" s="59">
        <v>46027</v>
      </c>
      <c r="B25" s="60" t="s">
        <v>42</v>
      </c>
      <c r="C25" s="61" t="s">
        <v>45</v>
      </c>
      <c r="D25" s="60" t="s">
        <v>48</v>
      </c>
      <c r="E25" s="61">
        <v>0</v>
      </c>
      <c r="F25" s="61">
        <v>0</v>
      </c>
      <c r="G25" s="83">
        <v>720</v>
      </c>
      <c r="H25" s="69" t="s">
        <v>169</v>
      </c>
      <c r="I25" s="69"/>
      <c r="J25" s="49"/>
      <c r="K25" s="76"/>
      <c r="L25" s="67"/>
      <c r="M25" s="67"/>
      <c r="N25" s="68"/>
    </row>
    <row r="26" spans="1:14" ht="17.25" customHeight="1" x14ac:dyDescent="0.3">
      <c r="A26" s="59">
        <v>46028</v>
      </c>
      <c r="B26" s="60" t="s">
        <v>42</v>
      </c>
      <c r="C26" s="61" t="s">
        <v>27</v>
      </c>
      <c r="D26" s="60" t="s">
        <v>48</v>
      </c>
      <c r="E26" s="61">
        <v>0</v>
      </c>
      <c r="F26" s="61">
        <v>0</v>
      </c>
      <c r="G26" s="83">
        <v>720</v>
      </c>
      <c r="H26" s="69" t="s">
        <v>169</v>
      </c>
      <c r="I26" s="70"/>
      <c r="J26" s="49"/>
      <c r="K26" s="238"/>
      <c r="L26" s="239"/>
      <c r="M26" s="239"/>
      <c r="N26" s="240"/>
    </row>
    <row r="27" spans="1:14" ht="17.25" customHeight="1" x14ac:dyDescent="0.3">
      <c r="A27" s="59">
        <v>46028</v>
      </c>
      <c r="B27" s="60" t="s">
        <v>42</v>
      </c>
      <c r="C27" s="61" t="s">
        <v>45</v>
      </c>
      <c r="D27" s="60" t="s">
        <v>48</v>
      </c>
      <c r="E27" s="61">
        <v>0</v>
      </c>
      <c r="F27" s="61">
        <v>0</v>
      </c>
      <c r="G27" s="83">
        <v>720</v>
      </c>
      <c r="H27" s="69" t="s">
        <v>169</v>
      </c>
      <c r="I27" s="69"/>
      <c r="J27" s="49"/>
      <c r="K27" s="76"/>
      <c r="L27" s="67"/>
      <c r="M27" s="67"/>
      <c r="N27" s="68"/>
    </row>
    <row r="28" spans="1:14" ht="17.25" customHeight="1" x14ac:dyDescent="0.3">
      <c r="A28" s="59">
        <v>46029</v>
      </c>
      <c r="B28" s="60" t="s">
        <v>42</v>
      </c>
      <c r="C28" s="61" t="s">
        <v>27</v>
      </c>
      <c r="D28" s="60" t="s">
        <v>48</v>
      </c>
      <c r="E28" s="61">
        <v>0</v>
      </c>
      <c r="F28" s="61">
        <v>0</v>
      </c>
      <c r="G28" s="83">
        <v>720</v>
      </c>
      <c r="H28" s="69" t="s">
        <v>169</v>
      </c>
      <c r="I28" s="70"/>
      <c r="J28" s="49"/>
      <c r="K28" s="238"/>
      <c r="L28" s="239"/>
      <c r="M28" s="239"/>
      <c r="N28" s="240"/>
    </row>
    <row r="29" spans="1:14" ht="17.25" customHeight="1" x14ac:dyDescent="0.3">
      <c r="A29" s="59">
        <v>46029</v>
      </c>
      <c r="B29" s="60" t="s">
        <v>42</v>
      </c>
      <c r="C29" s="61" t="s">
        <v>45</v>
      </c>
      <c r="D29" s="60" t="s">
        <v>48</v>
      </c>
      <c r="E29" s="61">
        <v>0</v>
      </c>
      <c r="F29" s="61">
        <v>0</v>
      </c>
      <c r="G29" s="83">
        <v>720</v>
      </c>
      <c r="H29" s="69" t="s">
        <v>169</v>
      </c>
      <c r="I29" s="69"/>
      <c r="J29" s="49"/>
      <c r="K29" s="76"/>
      <c r="L29" s="67"/>
      <c r="M29" s="67"/>
      <c r="N29" s="68"/>
    </row>
    <row r="30" spans="1:14" ht="17.25" customHeight="1" x14ac:dyDescent="0.3">
      <c r="A30" s="59">
        <v>46030</v>
      </c>
      <c r="B30" s="60" t="s">
        <v>42</v>
      </c>
      <c r="C30" s="61" t="s">
        <v>27</v>
      </c>
      <c r="D30" s="60" t="s">
        <v>48</v>
      </c>
      <c r="E30" s="61">
        <v>0</v>
      </c>
      <c r="F30" s="61">
        <v>0</v>
      </c>
      <c r="G30" s="83">
        <v>720</v>
      </c>
      <c r="H30" s="69" t="s">
        <v>169</v>
      </c>
      <c r="I30" s="70"/>
      <c r="J30" s="49"/>
      <c r="K30" s="238"/>
      <c r="L30" s="239"/>
      <c r="M30" s="239"/>
      <c r="N30" s="240"/>
    </row>
    <row r="31" spans="1:14" ht="17.25" customHeight="1" x14ac:dyDescent="0.3">
      <c r="A31" s="59">
        <v>46030</v>
      </c>
      <c r="B31" s="60" t="s">
        <v>42</v>
      </c>
      <c r="C31" s="61" t="s">
        <v>45</v>
      </c>
      <c r="D31" s="60" t="s">
        <v>48</v>
      </c>
      <c r="E31" s="61">
        <v>0</v>
      </c>
      <c r="F31" s="61">
        <v>0</v>
      </c>
      <c r="G31" s="83">
        <v>720</v>
      </c>
      <c r="H31" s="69" t="s">
        <v>169</v>
      </c>
      <c r="I31" s="69"/>
      <c r="J31" s="49"/>
      <c r="K31" s="76"/>
      <c r="L31" s="67"/>
      <c r="M31" s="67"/>
      <c r="N31" s="68"/>
    </row>
    <row r="32" spans="1:14" x14ac:dyDescent="0.3">
      <c r="A32" s="59">
        <v>46031</v>
      </c>
      <c r="B32" s="60" t="s">
        <v>42</v>
      </c>
      <c r="C32" s="61" t="s">
        <v>27</v>
      </c>
      <c r="D32" s="60" t="s">
        <v>48</v>
      </c>
      <c r="E32" s="61">
        <v>0</v>
      </c>
      <c r="F32" s="61">
        <v>0</v>
      </c>
      <c r="G32" s="83">
        <v>720</v>
      </c>
      <c r="H32" s="69" t="s">
        <v>169</v>
      </c>
      <c r="I32" s="69"/>
      <c r="J32" s="49"/>
      <c r="K32" s="66"/>
      <c r="L32" s="67"/>
      <c r="M32" s="67"/>
      <c r="N32" s="68"/>
    </row>
    <row r="33" spans="1:14" x14ac:dyDescent="0.3">
      <c r="A33" s="59">
        <v>46031</v>
      </c>
      <c r="B33" s="60" t="s">
        <v>42</v>
      </c>
      <c r="C33" s="61" t="s">
        <v>45</v>
      </c>
      <c r="D33" s="60" t="s">
        <v>48</v>
      </c>
      <c r="E33" s="61">
        <v>0</v>
      </c>
      <c r="F33" s="61">
        <v>0</v>
      </c>
      <c r="G33" s="83">
        <v>720</v>
      </c>
      <c r="H33" s="69" t="s">
        <v>169</v>
      </c>
      <c r="I33" s="69"/>
      <c r="J33" s="49"/>
      <c r="K33" s="241"/>
      <c r="L33" s="242"/>
      <c r="M33" s="242"/>
      <c r="N33" s="243"/>
    </row>
    <row r="34" spans="1:14" x14ac:dyDescent="0.3">
      <c r="A34" s="59">
        <v>46032</v>
      </c>
      <c r="B34" s="60" t="s">
        <v>42</v>
      </c>
      <c r="C34" s="61" t="s">
        <v>27</v>
      </c>
      <c r="D34" s="60" t="s">
        <v>48</v>
      </c>
      <c r="E34" s="61">
        <v>0</v>
      </c>
      <c r="F34" s="61">
        <v>0</v>
      </c>
      <c r="G34" s="83">
        <v>720</v>
      </c>
      <c r="H34" s="69" t="s">
        <v>169</v>
      </c>
      <c r="I34" s="69"/>
      <c r="J34" s="49"/>
      <c r="K34" s="66"/>
      <c r="L34" s="67"/>
      <c r="M34" s="67"/>
      <c r="N34" s="68"/>
    </row>
    <row r="35" spans="1:14" x14ac:dyDescent="0.3">
      <c r="A35" s="59">
        <v>46032</v>
      </c>
      <c r="B35" s="60" t="s">
        <v>42</v>
      </c>
      <c r="C35" s="61" t="s">
        <v>45</v>
      </c>
      <c r="D35" s="60" t="s">
        <v>48</v>
      </c>
      <c r="E35" s="61">
        <v>0</v>
      </c>
      <c r="F35" s="61">
        <v>0</v>
      </c>
      <c r="G35" s="83">
        <v>720</v>
      </c>
      <c r="H35" s="69" t="s">
        <v>169</v>
      </c>
      <c r="I35" s="69"/>
      <c r="J35" s="49"/>
      <c r="K35" s="241"/>
      <c r="L35" s="242"/>
      <c r="M35" s="242"/>
      <c r="N35" s="243"/>
    </row>
    <row r="36" spans="1:14" x14ac:dyDescent="0.3">
      <c r="A36" s="59">
        <v>46033</v>
      </c>
      <c r="B36" s="60" t="s">
        <v>42</v>
      </c>
      <c r="C36" s="61" t="s">
        <v>27</v>
      </c>
      <c r="D36" s="60" t="s">
        <v>48</v>
      </c>
      <c r="E36" s="61">
        <v>0</v>
      </c>
      <c r="F36" s="61">
        <v>0</v>
      </c>
      <c r="G36" s="83">
        <v>720</v>
      </c>
      <c r="H36" s="69" t="s">
        <v>169</v>
      </c>
      <c r="I36" s="69"/>
      <c r="J36" s="49"/>
      <c r="K36" s="66"/>
      <c r="L36" s="67"/>
      <c r="M36" s="67"/>
      <c r="N36" s="68"/>
    </row>
    <row r="37" spans="1:14" x14ac:dyDescent="0.3">
      <c r="A37" s="59">
        <v>46033</v>
      </c>
      <c r="B37" s="60" t="s">
        <v>42</v>
      </c>
      <c r="C37" s="61" t="s">
        <v>45</v>
      </c>
      <c r="D37" s="60" t="s">
        <v>48</v>
      </c>
      <c r="E37" s="61">
        <v>0</v>
      </c>
      <c r="F37" s="61">
        <v>0</v>
      </c>
      <c r="G37" s="83">
        <v>720</v>
      </c>
      <c r="H37" s="69" t="s">
        <v>169</v>
      </c>
      <c r="I37" s="69"/>
      <c r="J37" s="49"/>
      <c r="K37" s="241"/>
      <c r="L37" s="242"/>
      <c r="M37" s="242"/>
      <c r="N37" s="243"/>
    </row>
    <row r="38" spans="1:14" x14ac:dyDescent="0.3">
      <c r="A38" s="59">
        <v>46034</v>
      </c>
      <c r="B38" s="60" t="s">
        <v>42</v>
      </c>
      <c r="C38" s="61" t="s">
        <v>27</v>
      </c>
      <c r="D38" s="60" t="s">
        <v>48</v>
      </c>
      <c r="E38" s="61">
        <v>0</v>
      </c>
      <c r="F38" s="61">
        <v>0</v>
      </c>
      <c r="G38" s="83">
        <v>720</v>
      </c>
      <c r="H38" s="69" t="s">
        <v>169</v>
      </c>
      <c r="I38" s="69"/>
      <c r="J38" s="49"/>
      <c r="K38" s="66"/>
      <c r="L38" s="67"/>
      <c r="M38" s="67"/>
      <c r="N38" s="68"/>
    </row>
    <row r="39" spans="1:14" x14ac:dyDescent="0.3">
      <c r="A39" s="59">
        <v>46034</v>
      </c>
      <c r="B39" s="60" t="s">
        <v>42</v>
      </c>
      <c r="C39" s="61" t="s">
        <v>45</v>
      </c>
      <c r="D39" s="60" t="s">
        <v>48</v>
      </c>
      <c r="E39" s="61">
        <v>0</v>
      </c>
      <c r="F39" s="61">
        <v>0</v>
      </c>
      <c r="G39" s="83">
        <v>720</v>
      </c>
      <c r="H39" s="69" t="s">
        <v>169</v>
      </c>
      <c r="I39" s="69"/>
      <c r="J39" s="49"/>
      <c r="K39" s="241"/>
      <c r="L39" s="242"/>
      <c r="M39" s="242"/>
      <c r="N39" s="243"/>
    </row>
    <row r="40" spans="1:14" x14ac:dyDescent="0.3">
      <c r="A40" s="59">
        <v>46035</v>
      </c>
      <c r="B40" s="60" t="s">
        <v>42</v>
      </c>
      <c r="C40" s="61" t="s">
        <v>27</v>
      </c>
      <c r="D40" s="60" t="s">
        <v>48</v>
      </c>
      <c r="E40" s="61">
        <v>0</v>
      </c>
      <c r="F40" s="61">
        <v>0</v>
      </c>
      <c r="G40" s="83">
        <v>720</v>
      </c>
      <c r="H40" s="69" t="s">
        <v>169</v>
      </c>
      <c r="I40" s="69"/>
      <c r="J40" s="49"/>
      <c r="K40" s="66"/>
      <c r="L40" s="67"/>
      <c r="M40" s="67"/>
      <c r="N40" s="68"/>
    </row>
    <row r="41" spans="1:14" x14ac:dyDescent="0.3">
      <c r="A41" s="59">
        <v>46035</v>
      </c>
      <c r="B41" s="60" t="s">
        <v>42</v>
      </c>
      <c r="C41" s="61" t="s">
        <v>45</v>
      </c>
      <c r="D41" s="60" t="s">
        <v>48</v>
      </c>
      <c r="E41" s="61">
        <v>0</v>
      </c>
      <c r="F41" s="61">
        <v>0</v>
      </c>
      <c r="G41" s="83">
        <v>720</v>
      </c>
      <c r="H41" s="69" t="s">
        <v>169</v>
      </c>
      <c r="I41" s="69"/>
      <c r="J41" s="49"/>
      <c r="K41" s="241"/>
      <c r="L41" s="242"/>
      <c r="M41" s="242"/>
      <c r="N41" s="243"/>
    </row>
    <row r="42" spans="1:14" x14ac:dyDescent="0.3">
      <c r="A42" s="59">
        <v>46036</v>
      </c>
      <c r="B42" s="60" t="s">
        <v>42</v>
      </c>
      <c r="C42" s="61" t="s">
        <v>27</v>
      </c>
      <c r="D42" s="60" t="s">
        <v>48</v>
      </c>
      <c r="E42" s="61">
        <v>0</v>
      </c>
      <c r="F42" s="49">
        <v>0</v>
      </c>
      <c r="G42" s="83">
        <v>720</v>
      </c>
      <c r="H42" s="50" t="s">
        <v>165</v>
      </c>
      <c r="I42" s="70"/>
      <c r="J42" s="49"/>
      <c r="K42" s="63"/>
      <c r="L42" s="67"/>
      <c r="M42" s="67"/>
      <c r="N42" s="68"/>
    </row>
    <row r="43" spans="1:14" x14ac:dyDescent="0.3">
      <c r="A43" s="59">
        <v>46036</v>
      </c>
      <c r="B43" s="60" t="s">
        <v>42</v>
      </c>
      <c r="C43" s="61" t="s">
        <v>27</v>
      </c>
      <c r="D43" s="60" t="s">
        <v>48</v>
      </c>
      <c r="E43" s="61">
        <v>0</v>
      </c>
      <c r="F43" s="49">
        <v>0</v>
      </c>
      <c r="G43" s="83">
        <v>720</v>
      </c>
      <c r="H43" s="50" t="s">
        <v>165</v>
      </c>
      <c r="I43" s="69"/>
      <c r="J43" s="49"/>
      <c r="K43" s="66"/>
      <c r="L43" s="67"/>
      <c r="M43" s="67"/>
      <c r="N43" s="68"/>
    </row>
    <row r="44" spans="1:14" x14ac:dyDescent="0.3">
      <c r="A44" s="59">
        <v>46036</v>
      </c>
      <c r="B44" s="60" t="s">
        <v>42</v>
      </c>
      <c r="C44" s="61" t="s">
        <v>45</v>
      </c>
      <c r="D44" s="60" t="s">
        <v>48</v>
      </c>
      <c r="E44" s="61">
        <v>0</v>
      </c>
      <c r="F44" s="49">
        <v>0</v>
      </c>
      <c r="G44" s="83">
        <v>720</v>
      </c>
      <c r="H44" s="50" t="s">
        <v>165</v>
      </c>
      <c r="I44" s="69"/>
      <c r="J44" s="49"/>
      <c r="K44" s="66"/>
      <c r="L44" s="67"/>
      <c r="M44" s="67"/>
      <c r="N44" s="68"/>
    </row>
    <row r="45" spans="1:14" x14ac:dyDescent="0.3">
      <c r="A45" s="59">
        <v>46037</v>
      </c>
      <c r="B45" s="60" t="s">
        <v>42</v>
      </c>
      <c r="C45" s="61" t="s">
        <v>27</v>
      </c>
      <c r="D45" s="60" t="s">
        <v>48</v>
      </c>
      <c r="E45" s="61">
        <v>0</v>
      </c>
      <c r="F45" s="49">
        <v>0</v>
      </c>
      <c r="G45" s="83">
        <v>720</v>
      </c>
      <c r="H45" s="50" t="s">
        <v>165</v>
      </c>
      <c r="I45" s="69"/>
      <c r="J45" s="49"/>
      <c r="K45" s="66"/>
      <c r="L45" s="67"/>
      <c r="M45" s="67"/>
      <c r="N45" s="68"/>
    </row>
    <row r="46" spans="1:14" x14ac:dyDescent="0.3">
      <c r="A46" s="59">
        <v>46037</v>
      </c>
      <c r="B46" s="60" t="s">
        <v>42</v>
      </c>
      <c r="C46" s="61" t="s">
        <v>45</v>
      </c>
      <c r="D46" s="60" t="s">
        <v>48</v>
      </c>
      <c r="E46" s="61">
        <v>0</v>
      </c>
      <c r="F46" s="49">
        <v>0</v>
      </c>
      <c r="G46" s="83">
        <v>720</v>
      </c>
      <c r="H46" s="50" t="s">
        <v>165</v>
      </c>
      <c r="I46" s="69"/>
      <c r="J46" s="49"/>
      <c r="K46" s="66"/>
      <c r="L46" s="67"/>
      <c r="M46" s="67"/>
      <c r="N46" s="68"/>
    </row>
    <row r="47" spans="1:14" x14ac:dyDescent="0.3">
      <c r="A47" s="59">
        <v>46038</v>
      </c>
      <c r="B47" s="60" t="s">
        <v>42</v>
      </c>
      <c r="C47" s="61" t="s">
        <v>27</v>
      </c>
      <c r="D47" s="60" t="s">
        <v>48</v>
      </c>
      <c r="E47" s="61">
        <v>0</v>
      </c>
      <c r="F47" s="49">
        <v>0</v>
      </c>
      <c r="G47" s="83">
        <v>720</v>
      </c>
      <c r="H47" s="50" t="s">
        <v>165</v>
      </c>
      <c r="I47" s="69"/>
      <c r="J47" s="49"/>
      <c r="K47" s="238"/>
      <c r="L47" s="239"/>
      <c r="M47" s="239"/>
      <c r="N47" s="240"/>
    </row>
    <row r="48" spans="1:14" x14ac:dyDescent="0.3">
      <c r="A48" s="59">
        <v>46038</v>
      </c>
      <c r="B48" s="60" t="s">
        <v>42</v>
      </c>
      <c r="C48" s="61" t="s">
        <v>45</v>
      </c>
      <c r="D48" s="60" t="s">
        <v>48</v>
      </c>
      <c r="E48" s="61">
        <v>0</v>
      </c>
      <c r="F48" s="49">
        <v>0</v>
      </c>
      <c r="G48" s="83">
        <v>720</v>
      </c>
      <c r="H48" s="50" t="s">
        <v>165</v>
      </c>
      <c r="I48" s="69"/>
      <c r="J48" s="49"/>
      <c r="K48" s="63"/>
      <c r="L48" s="64"/>
      <c r="M48" s="64"/>
      <c r="N48" s="65"/>
    </row>
    <row r="49" spans="1:14" x14ac:dyDescent="0.3">
      <c r="A49" s="59">
        <v>46039</v>
      </c>
      <c r="B49" s="60" t="s">
        <v>42</v>
      </c>
      <c r="C49" s="61" t="s">
        <v>27</v>
      </c>
      <c r="D49" s="60" t="s">
        <v>48</v>
      </c>
      <c r="E49" s="61">
        <v>0</v>
      </c>
      <c r="F49" s="49">
        <v>0</v>
      </c>
      <c r="G49" s="83">
        <v>720</v>
      </c>
      <c r="H49" s="50" t="s">
        <v>165</v>
      </c>
      <c r="I49" s="69"/>
      <c r="J49" s="49"/>
      <c r="K49" s="238"/>
      <c r="L49" s="239"/>
      <c r="M49" s="239"/>
      <c r="N49" s="240"/>
    </row>
    <row r="50" spans="1:14" x14ac:dyDescent="0.3">
      <c r="A50" s="59">
        <v>46039</v>
      </c>
      <c r="B50" s="60" t="s">
        <v>42</v>
      </c>
      <c r="C50" s="61" t="s">
        <v>45</v>
      </c>
      <c r="D50" s="60" t="s">
        <v>48</v>
      </c>
      <c r="E50" s="61">
        <v>0</v>
      </c>
      <c r="F50" s="49">
        <v>0</v>
      </c>
      <c r="G50" s="83">
        <v>720</v>
      </c>
      <c r="H50" s="50" t="s">
        <v>165</v>
      </c>
      <c r="I50" s="69"/>
      <c r="J50" s="49"/>
      <c r="K50" s="63"/>
      <c r="L50" s="64"/>
      <c r="M50" s="64"/>
      <c r="N50" s="65"/>
    </row>
    <row r="51" spans="1:14" x14ac:dyDescent="0.3">
      <c r="A51" s="59">
        <v>46040</v>
      </c>
      <c r="B51" s="60" t="s">
        <v>42</v>
      </c>
      <c r="C51" s="61" t="s">
        <v>27</v>
      </c>
      <c r="D51" s="60" t="s">
        <v>48</v>
      </c>
      <c r="E51" s="61">
        <v>0</v>
      </c>
      <c r="F51" s="49">
        <v>0</v>
      </c>
      <c r="G51" s="83">
        <v>720</v>
      </c>
      <c r="H51" s="50" t="s">
        <v>165</v>
      </c>
      <c r="I51" s="69"/>
      <c r="J51" s="49"/>
      <c r="K51" s="63"/>
      <c r="L51" s="64"/>
      <c r="M51" s="64"/>
      <c r="N51" s="65"/>
    </row>
    <row r="52" spans="1:14" x14ac:dyDescent="0.3">
      <c r="A52" s="59">
        <v>46040</v>
      </c>
      <c r="B52" s="60" t="s">
        <v>42</v>
      </c>
      <c r="C52" s="61" t="s">
        <v>45</v>
      </c>
      <c r="D52" s="60" t="s">
        <v>48</v>
      </c>
      <c r="E52" s="61">
        <v>0</v>
      </c>
      <c r="F52" s="49">
        <v>0</v>
      </c>
      <c r="G52" s="83">
        <v>720</v>
      </c>
      <c r="H52" s="50" t="s">
        <v>165</v>
      </c>
      <c r="I52" s="69"/>
      <c r="J52" s="49"/>
      <c r="K52" s="63"/>
      <c r="L52" s="64"/>
      <c r="M52" s="64"/>
      <c r="N52" s="65"/>
    </row>
    <row r="53" spans="1:14" x14ac:dyDescent="0.3">
      <c r="A53" s="59">
        <v>46041</v>
      </c>
      <c r="B53" s="60" t="s">
        <v>42</v>
      </c>
      <c r="C53" s="61" t="s">
        <v>27</v>
      </c>
      <c r="D53" s="60" t="s">
        <v>48</v>
      </c>
      <c r="E53" s="61">
        <v>0</v>
      </c>
      <c r="F53" s="49">
        <v>0</v>
      </c>
      <c r="G53" s="83">
        <v>720</v>
      </c>
      <c r="H53" s="50" t="s">
        <v>165</v>
      </c>
      <c r="I53" s="69"/>
      <c r="J53" s="49"/>
      <c r="K53" s="63"/>
      <c r="L53" s="64"/>
      <c r="M53" s="64"/>
      <c r="N53" s="65"/>
    </row>
    <row r="54" spans="1:14" x14ac:dyDescent="0.3">
      <c r="A54" s="59">
        <v>46041</v>
      </c>
      <c r="B54" s="60" t="s">
        <v>42</v>
      </c>
      <c r="C54" s="61" t="s">
        <v>45</v>
      </c>
      <c r="D54" s="60" t="s">
        <v>48</v>
      </c>
      <c r="E54" s="61">
        <v>0</v>
      </c>
      <c r="F54" s="49">
        <v>0</v>
      </c>
      <c r="G54" s="83">
        <v>720</v>
      </c>
      <c r="H54" s="50" t="s">
        <v>165</v>
      </c>
      <c r="I54" s="69"/>
      <c r="J54" s="49"/>
      <c r="K54" s="63"/>
      <c r="L54" s="64"/>
      <c r="M54" s="64"/>
      <c r="N54" s="65"/>
    </row>
    <row r="55" spans="1:14" x14ac:dyDescent="0.3">
      <c r="A55" s="59">
        <v>46042</v>
      </c>
      <c r="B55" s="60" t="s">
        <v>42</v>
      </c>
      <c r="C55" s="61" t="s">
        <v>27</v>
      </c>
      <c r="D55" s="60" t="s">
        <v>48</v>
      </c>
      <c r="E55" s="61">
        <v>0</v>
      </c>
      <c r="F55" s="49">
        <v>0</v>
      </c>
      <c r="G55" s="83">
        <v>720</v>
      </c>
      <c r="H55" s="50" t="s">
        <v>165</v>
      </c>
      <c r="I55" s="69"/>
      <c r="J55" s="49"/>
      <c r="K55" s="63"/>
      <c r="L55" s="64"/>
      <c r="M55" s="64"/>
      <c r="N55" s="65"/>
    </row>
    <row r="56" spans="1:14" x14ac:dyDescent="0.3">
      <c r="A56" s="59">
        <v>46042</v>
      </c>
      <c r="B56" s="60" t="s">
        <v>42</v>
      </c>
      <c r="C56" s="61" t="s">
        <v>45</v>
      </c>
      <c r="D56" s="60" t="s">
        <v>48</v>
      </c>
      <c r="E56" s="61">
        <v>0</v>
      </c>
      <c r="F56" s="49">
        <v>0</v>
      </c>
      <c r="G56" s="83">
        <v>720</v>
      </c>
      <c r="H56" s="50" t="s">
        <v>165</v>
      </c>
      <c r="I56" s="69"/>
      <c r="J56" s="49"/>
      <c r="K56" s="238"/>
      <c r="L56" s="239"/>
      <c r="M56" s="239"/>
      <c r="N56" s="240"/>
    </row>
    <row r="57" spans="1:14" x14ac:dyDescent="0.3">
      <c r="A57" s="59">
        <v>46043</v>
      </c>
      <c r="B57" s="60" t="s">
        <v>42</v>
      </c>
      <c r="C57" s="61" t="s">
        <v>27</v>
      </c>
      <c r="D57" s="60" t="s">
        <v>48</v>
      </c>
      <c r="E57" s="61">
        <v>0</v>
      </c>
      <c r="F57" s="49">
        <v>0</v>
      </c>
      <c r="G57" s="83">
        <v>720</v>
      </c>
      <c r="H57" s="50" t="s">
        <v>165</v>
      </c>
      <c r="I57" s="69"/>
      <c r="J57" s="49"/>
      <c r="K57" s="63"/>
      <c r="L57" s="64"/>
      <c r="M57" s="64"/>
      <c r="N57" s="65"/>
    </row>
    <row r="58" spans="1:14" x14ac:dyDescent="0.3">
      <c r="A58" s="59">
        <v>46043</v>
      </c>
      <c r="B58" s="60" t="s">
        <v>42</v>
      </c>
      <c r="C58" s="61" t="s">
        <v>45</v>
      </c>
      <c r="D58" s="60" t="s">
        <v>48</v>
      </c>
      <c r="E58" s="61">
        <v>0</v>
      </c>
      <c r="F58" s="49">
        <v>0</v>
      </c>
      <c r="G58" s="83">
        <v>720</v>
      </c>
      <c r="H58" s="50" t="s">
        <v>165</v>
      </c>
      <c r="I58" s="70"/>
      <c r="J58" s="49"/>
      <c r="K58" s="238"/>
      <c r="L58" s="239"/>
      <c r="M58" s="239"/>
      <c r="N58" s="240"/>
    </row>
    <row r="59" spans="1:14" x14ac:dyDescent="0.3">
      <c r="A59" s="59">
        <v>46044</v>
      </c>
      <c r="B59" s="60" t="s">
        <v>42</v>
      </c>
      <c r="C59" s="61" t="s">
        <v>27</v>
      </c>
      <c r="D59" s="60" t="s">
        <v>48</v>
      </c>
      <c r="E59" s="61">
        <v>0</v>
      </c>
      <c r="F59" s="49">
        <v>0</v>
      </c>
      <c r="G59" s="83">
        <v>720</v>
      </c>
      <c r="H59" s="50" t="s">
        <v>165</v>
      </c>
      <c r="I59" s="70"/>
      <c r="J59" s="49"/>
      <c r="K59" s="63"/>
      <c r="L59" s="64"/>
      <c r="M59" s="64"/>
      <c r="N59" s="65"/>
    </row>
    <row r="60" spans="1:14" x14ac:dyDescent="0.3">
      <c r="A60" s="59">
        <v>46044</v>
      </c>
      <c r="B60" s="60" t="s">
        <v>42</v>
      </c>
      <c r="C60" s="61" t="s">
        <v>45</v>
      </c>
      <c r="D60" s="60" t="s">
        <v>48</v>
      </c>
      <c r="E60" s="61">
        <v>0</v>
      </c>
      <c r="F60" s="49">
        <v>0</v>
      </c>
      <c r="G60" s="83">
        <v>720</v>
      </c>
      <c r="H60" s="50" t="s">
        <v>165</v>
      </c>
      <c r="I60" s="70"/>
      <c r="J60" s="49"/>
      <c r="K60" s="63"/>
      <c r="L60" s="64"/>
      <c r="M60" s="64"/>
      <c r="N60" s="65"/>
    </row>
    <row r="61" spans="1:14" x14ac:dyDescent="0.3">
      <c r="A61" s="59">
        <v>46045</v>
      </c>
      <c r="B61" s="60" t="s">
        <v>42</v>
      </c>
      <c r="C61" s="61" t="s">
        <v>27</v>
      </c>
      <c r="D61" s="60" t="s">
        <v>48</v>
      </c>
      <c r="E61" s="61">
        <v>0</v>
      </c>
      <c r="F61" s="49">
        <v>0</v>
      </c>
      <c r="G61" s="83">
        <v>720</v>
      </c>
      <c r="H61" s="50" t="s">
        <v>165</v>
      </c>
      <c r="I61" s="70"/>
      <c r="J61" s="49"/>
      <c r="K61" s="63"/>
      <c r="L61" s="64"/>
      <c r="M61" s="64"/>
      <c r="N61" s="65"/>
    </row>
    <row r="62" spans="1:14" x14ac:dyDescent="0.3">
      <c r="A62" s="59">
        <v>46045</v>
      </c>
      <c r="B62" s="60" t="s">
        <v>42</v>
      </c>
      <c r="C62" s="61" t="s">
        <v>45</v>
      </c>
      <c r="D62" s="60" t="s">
        <v>48</v>
      </c>
      <c r="E62" s="61">
        <v>0</v>
      </c>
      <c r="F62" s="49">
        <v>0</v>
      </c>
      <c r="G62" s="83">
        <v>720</v>
      </c>
      <c r="H62" s="50" t="s">
        <v>165</v>
      </c>
      <c r="I62" s="70"/>
      <c r="J62" s="49"/>
      <c r="K62" s="63"/>
      <c r="L62" s="64"/>
      <c r="M62" s="64"/>
      <c r="N62" s="65"/>
    </row>
    <row r="63" spans="1:14" x14ac:dyDescent="0.3">
      <c r="A63" s="59">
        <v>46046</v>
      </c>
      <c r="B63" s="60" t="s">
        <v>42</v>
      </c>
      <c r="C63" s="61" t="s">
        <v>27</v>
      </c>
      <c r="D63" s="60" t="s">
        <v>48</v>
      </c>
      <c r="E63" s="61">
        <v>0</v>
      </c>
      <c r="F63" s="49">
        <v>0</v>
      </c>
      <c r="G63" s="83">
        <v>720</v>
      </c>
      <c r="H63" s="50" t="s">
        <v>165</v>
      </c>
      <c r="I63" s="70"/>
      <c r="J63" s="49"/>
      <c r="K63" s="63"/>
      <c r="L63" s="64"/>
      <c r="M63" s="64"/>
      <c r="N63" s="65"/>
    </row>
    <row r="64" spans="1:14" x14ac:dyDescent="0.3">
      <c r="A64" s="59">
        <v>46046</v>
      </c>
      <c r="B64" s="60" t="s">
        <v>42</v>
      </c>
      <c r="C64" s="61" t="s">
        <v>45</v>
      </c>
      <c r="D64" s="60" t="s">
        <v>48</v>
      </c>
      <c r="E64" s="61">
        <v>0</v>
      </c>
      <c r="F64" s="49">
        <v>0</v>
      </c>
      <c r="G64" s="83">
        <v>720</v>
      </c>
      <c r="H64" s="50" t="s">
        <v>165</v>
      </c>
      <c r="I64" s="70"/>
      <c r="J64" s="49"/>
      <c r="K64" s="306"/>
      <c r="L64" s="307"/>
      <c r="M64" s="307"/>
      <c r="N64" s="308"/>
    </row>
    <row r="65" spans="1:14" x14ac:dyDescent="0.3">
      <c r="A65" s="59">
        <v>46047</v>
      </c>
      <c r="B65" s="60" t="s">
        <v>42</v>
      </c>
      <c r="C65" s="61" t="s">
        <v>27</v>
      </c>
      <c r="D65" s="60" t="s">
        <v>48</v>
      </c>
      <c r="E65" s="61">
        <v>0</v>
      </c>
      <c r="F65" s="49">
        <v>0</v>
      </c>
      <c r="G65" s="83">
        <v>720</v>
      </c>
      <c r="H65" s="50" t="s">
        <v>165</v>
      </c>
      <c r="I65" s="69"/>
      <c r="J65" s="49"/>
      <c r="K65" s="238"/>
      <c r="L65" s="239"/>
      <c r="M65" s="239"/>
      <c r="N65" s="240"/>
    </row>
    <row r="66" spans="1:14" x14ac:dyDescent="0.3">
      <c r="A66" s="59">
        <v>46047</v>
      </c>
      <c r="B66" s="60" t="s">
        <v>42</v>
      </c>
      <c r="C66" s="61" t="s">
        <v>45</v>
      </c>
      <c r="D66" s="60" t="s">
        <v>48</v>
      </c>
      <c r="E66" s="61">
        <v>0</v>
      </c>
      <c r="F66" s="49">
        <v>0</v>
      </c>
      <c r="G66" s="83">
        <v>720</v>
      </c>
      <c r="H66" s="50" t="s">
        <v>165</v>
      </c>
      <c r="I66" s="69"/>
      <c r="J66" s="49"/>
      <c r="K66" s="238"/>
      <c r="L66" s="239"/>
      <c r="M66" s="239"/>
      <c r="N66" s="240"/>
    </row>
    <row r="67" spans="1:14" x14ac:dyDescent="0.3">
      <c r="A67" s="59">
        <v>46048</v>
      </c>
      <c r="B67" s="60" t="s">
        <v>42</v>
      </c>
      <c r="C67" s="61" t="s">
        <v>27</v>
      </c>
      <c r="D67" s="60" t="s">
        <v>48</v>
      </c>
      <c r="E67" s="61">
        <v>0</v>
      </c>
      <c r="F67" s="49">
        <v>0</v>
      </c>
      <c r="G67" s="83">
        <v>720</v>
      </c>
      <c r="H67" s="50" t="s">
        <v>165</v>
      </c>
      <c r="I67" s="69"/>
      <c r="J67" s="49"/>
      <c r="K67" s="241"/>
      <c r="L67" s="242"/>
      <c r="M67" s="242"/>
      <c r="N67" s="243"/>
    </row>
    <row r="68" spans="1:14" x14ac:dyDescent="0.3">
      <c r="A68" s="59">
        <v>46048</v>
      </c>
      <c r="B68" s="60" t="s">
        <v>42</v>
      </c>
      <c r="C68" s="61" t="s">
        <v>45</v>
      </c>
      <c r="D68" s="60" t="s">
        <v>48</v>
      </c>
      <c r="E68" s="61">
        <v>0</v>
      </c>
      <c r="F68" s="49">
        <v>0</v>
      </c>
      <c r="G68" s="83">
        <v>720</v>
      </c>
      <c r="H68" s="50" t="s">
        <v>165</v>
      </c>
      <c r="I68" s="70"/>
      <c r="J68" s="49"/>
      <c r="K68" s="241"/>
      <c r="L68" s="242"/>
      <c r="M68" s="242"/>
      <c r="N68" s="243"/>
    </row>
    <row r="69" spans="1:14" x14ac:dyDescent="0.3">
      <c r="A69" s="59">
        <v>46049</v>
      </c>
      <c r="B69" s="60" t="s">
        <v>42</v>
      </c>
      <c r="C69" s="61" t="s">
        <v>27</v>
      </c>
      <c r="D69" s="60" t="s">
        <v>48</v>
      </c>
      <c r="E69" s="61">
        <v>0</v>
      </c>
      <c r="F69" s="49">
        <v>0</v>
      </c>
      <c r="G69" s="83">
        <v>720</v>
      </c>
      <c r="H69" s="50" t="s">
        <v>165</v>
      </c>
      <c r="I69" s="69"/>
      <c r="J69" s="49"/>
      <c r="K69" s="238"/>
      <c r="L69" s="239"/>
      <c r="M69" s="239"/>
      <c r="N69" s="240"/>
    </row>
    <row r="70" spans="1:14" x14ac:dyDescent="0.3">
      <c r="A70" s="59">
        <v>46049</v>
      </c>
      <c r="B70" s="60" t="s">
        <v>42</v>
      </c>
      <c r="C70" s="61" t="s">
        <v>45</v>
      </c>
      <c r="D70" s="60" t="s">
        <v>48</v>
      </c>
      <c r="E70" s="61">
        <v>0</v>
      </c>
      <c r="F70" s="49">
        <v>0</v>
      </c>
      <c r="G70" s="83">
        <v>720</v>
      </c>
      <c r="H70" s="50" t="s">
        <v>165</v>
      </c>
      <c r="I70" s="69"/>
      <c r="J70" s="49"/>
      <c r="K70" s="66"/>
      <c r="L70" s="67"/>
      <c r="M70" s="67"/>
      <c r="N70" s="68"/>
    </row>
    <row r="71" spans="1:14" x14ac:dyDescent="0.3">
      <c r="A71" s="59">
        <v>46050</v>
      </c>
      <c r="B71" s="60" t="s">
        <v>39</v>
      </c>
      <c r="C71" s="61" t="s">
        <v>27</v>
      </c>
      <c r="D71" s="60" t="s">
        <v>48</v>
      </c>
      <c r="E71" s="60">
        <v>0</v>
      </c>
      <c r="F71" s="60">
        <v>0</v>
      </c>
      <c r="G71" s="83">
        <v>720</v>
      </c>
      <c r="H71" s="50" t="s">
        <v>165</v>
      </c>
      <c r="I71" s="62"/>
      <c r="J71" s="60"/>
      <c r="K71" s="238"/>
      <c r="L71" s="239"/>
      <c r="M71" s="239"/>
      <c r="N71" s="240"/>
    </row>
    <row r="72" spans="1:14" ht="15.6" x14ac:dyDescent="0.3">
      <c r="A72" s="59">
        <v>46050</v>
      </c>
      <c r="B72" s="60" t="s">
        <v>39</v>
      </c>
      <c r="C72" s="61" t="s">
        <v>45</v>
      </c>
      <c r="D72" s="60" t="s">
        <v>48</v>
      </c>
      <c r="E72" s="60">
        <v>0</v>
      </c>
      <c r="F72" s="60">
        <v>0</v>
      </c>
      <c r="G72" s="83">
        <v>720</v>
      </c>
      <c r="H72" s="50" t="s">
        <v>165</v>
      </c>
      <c r="I72" s="71"/>
      <c r="J72" s="60"/>
      <c r="K72" s="72"/>
      <c r="L72" s="73"/>
      <c r="M72" s="73"/>
      <c r="N72" s="74"/>
    </row>
    <row r="73" spans="1:14" ht="15.6" x14ac:dyDescent="0.3">
      <c r="A73" s="59">
        <v>46051</v>
      </c>
      <c r="B73" s="60" t="s">
        <v>39</v>
      </c>
      <c r="C73" s="61" t="s">
        <v>27</v>
      </c>
      <c r="D73" s="60" t="s">
        <v>48</v>
      </c>
      <c r="E73" s="60">
        <v>0</v>
      </c>
      <c r="F73" s="60">
        <v>0</v>
      </c>
      <c r="G73" s="83">
        <v>720</v>
      </c>
      <c r="H73" s="50" t="s">
        <v>165</v>
      </c>
      <c r="I73" s="71"/>
      <c r="J73" s="60"/>
      <c r="K73" s="72"/>
      <c r="L73" s="73"/>
      <c r="M73" s="73"/>
      <c r="N73" s="74"/>
    </row>
    <row r="74" spans="1:14" ht="15.6" x14ac:dyDescent="0.3">
      <c r="A74" s="59">
        <v>46051</v>
      </c>
      <c r="B74" s="60" t="s">
        <v>39</v>
      </c>
      <c r="C74" s="61" t="s">
        <v>27</v>
      </c>
      <c r="D74" s="60" t="s">
        <v>48</v>
      </c>
      <c r="E74" s="60">
        <v>0</v>
      </c>
      <c r="F74" s="60">
        <v>0</v>
      </c>
      <c r="G74" s="83">
        <v>720</v>
      </c>
      <c r="H74" s="50" t="s">
        <v>165</v>
      </c>
      <c r="I74" s="71"/>
      <c r="J74" s="60"/>
      <c r="K74" s="235"/>
      <c r="L74" s="236"/>
      <c r="M74" s="236"/>
      <c r="N74" s="237"/>
    </row>
    <row r="75" spans="1:14" ht="15.6" x14ac:dyDescent="0.3">
      <c r="A75" s="59">
        <v>46052</v>
      </c>
      <c r="B75" s="60" t="s">
        <v>39</v>
      </c>
      <c r="C75" s="61" t="s">
        <v>45</v>
      </c>
      <c r="D75" s="60" t="s">
        <v>48</v>
      </c>
      <c r="E75" s="60">
        <v>0</v>
      </c>
      <c r="F75" s="60">
        <v>0</v>
      </c>
      <c r="G75" s="83">
        <v>720</v>
      </c>
      <c r="H75" s="50" t="s">
        <v>165</v>
      </c>
      <c r="I75" s="71"/>
      <c r="J75" s="60"/>
      <c r="K75" s="72"/>
      <c r="L75" s="73"/>
      <c r="M75" s="73"/>
      <c r="N75" s="74"/>
    </row>
    <row r="76" spans="1:14" ht="15.6" x14ac:dyDescent="0.3">
      <c r="A76" s="59">
        <v>46052</v>
      </c>
      <c r="B76" s="60" t="s">
        <v>39</v>
      </c>
      <c r="C76" s="61" t="s">
        <v>45</v>
      </c>
      <c r="D76" s="60" t="s">
        <v>48</v>
      </c>
      <c r="E76" s="60">
        <v>0</v>
      </c>
      <c r="F76" s="60">
        <v>0</v>
      </c>
      <c r="G76" s="83">
        <v>720</v>
      </c>
      <c r="H76" s="50" t="s">
        <v>165</v>
      </c>
      <c r="I76" s="71"/>
      <c r="J76" s="60"/>
      <c r="K76" s="72"/>
      <c r="L76" s="73"/>
      <c r="M76" s="73"/>
      <c r="N76" s="74"/>
    </row>
    <row r="77" spans="1:14" ht="15.6" x14ac:dyDescent="0.3">
      <c r="A77" s="59">
        <v>46053</v>
      </c>
      <c r="B77" s="60" t="s">
        <v>39</v>
      </c>
      <c r="C77" s="61" t="s">
        <v>27</v>
      </c>
      <c r="D77" s="60" t="s">
        <v>48</v>
      </c>
      <c r="E77" s="60">
        <v>0</v>
      </c>
      <c r="F77" s="60">
        <v>0</v>
      </c>
      <c r="G77" s="83">
        <v>720</v>
      </c>
      <c r="H77" s="50" t="s">
        <v>165</v>
      </c>
      <c r="I77" s="71"/>
      <c r="J77" s="60"/>
      <c r="K77" s="235"/>
      <c r="L77" s="236"/>
      <c r="M77" s="236"/>
      <c r="N77" s="237"/>
    </row>
    <row r="78" spans="1:14" ht="15.6" x14ac:dyDescent="0.3">
      <c r="A78" s="59">
        <v>46053</v>
      </c>
      <c r="B78" s="60" t="s">
        <v>39</v>
      </c>
      <c r="C78" s="61" t="s">
        <v>45</v>
      </c>
      <c r="D78" s="60" t="s">
        <v>48</v>
      </c>
      <c r="E78" s="60">
        <v>0</v>
      </c>
      <c r="F78" s="60">
        <v>0</v>
      </c>
      <c r="G78" s="83">
        <v>720</v>
      </c>
      <c r="H78" s="50" t="s">
        <v>165</v>
      </c>
      <c r="I78" s="71"/>
      <c r="J78" s="60"/>
      <c r="K78" s="72"/>
      <c r="L78" s="73"/>
      <c r="M78" s="73"/>
      <c r="N78" s="74"/>
    </row>
    <row r="79" spans="1:14" ht="23.4" x14ac:dyDescent="0.45">
      <c r="A79" s="259" t="s">
        <v>63</v>
      </c>
      <c r="B79" s="260"/>
      <c r="C79" s="260"/>
      <c r="D79" s="261"/>
      <c r="E79" s="98">
        <f>SUM(E16:E78)</f>
        <v>0</v>
      </c>
      <c r="F79" s="98">
        <f>SUM(F16:F78)</f>
        <v>0</v>
      </c>
      <c r="G79" s="102">
        <f>SUM(G16:G78)</f>
        <v>45360</v>
      </c>
      <c r="H79" s="99"/>
      <c r="I79" s="98"/>
      <c r="J79" s="98"/>
      <c r="K79" s="97"/>
      <c r="L79" s="97"/>
      <c r="M79" s="97"/>
      <c r="N79" s="97"/>
    </row>
    <row r="80" spans="1:14" ht="15" thickBot="1" x14ac:dyDescent="0.35">
      <c r="F80" s="26"/>
    </row>
  </sheetData>
  <mergeCells count="40">
    <mergeCell ref="K37:N37"/>
    <mergeCell ref="K41:N41"/>
    <mergeCell ref="A79:D79"/>
    <mergeCell ref="A4:K4"/>
    <mergeCell ref="L4:N4"/>
    <mergeCell ref="A5:K5"/>
    <mergeCell ref="A6:A7"/>
    <mergeCell ref="B6:C6"/>
    <mergeCell ref="B7:C7"/>
    <mergeCell ref="K7:K9"/>
    <mergeCell ref="A8:A9"/>
    <mergeCell ref="B8:C8"/>
    <mergeCell ref="B9:C9"/>
    <mergeCell ref="K35:N35"/>
    <mergeCell ref="A10:N12"/>
    <mergeCell ref="A14:N14"/>
    <mergeCell ref="K15:N15"/>
    <mergeCell ref="K16:N16"/>
    <mergeCell ref="K33:N33"/>
    <mergeCell ref="K20:N20"/>
    <mergeCell ref="K18:N18"/>
    <mergeCell ref="K22:N22"/>
    <mergeCell ref="K24:N24"/>
    <mergeCell ref="K28:N28"/>
    <mergeCell ref="K26:N26"/>
    <mergeCell ref="K30:N30"/>
    <mergeCell ref="K77:N77"/>
    <mergeCell ref="K39:N39"/>
    <mergeCell ref="K47:N47"/>
    <mergeCell ref="K49:N49"/>
    <mergeCell ref="K56:N56"/>
    <mergeCell ref="K58:N58"/>
    <mergeCell ref="K67:N67"/>
    <mergeCell ref="K68:N68"/>
    <mergeCell ref="K69:N69"/>
    <mergeCell ref="K64:N64"/>
    <mergeCell ref="K65:N65"/>
    <mergeCell ref="K66:N66"/>
    <mergeCell ref="K71:N71"/>
    <mergeCell ref="K74:N74"/>
  </mergeCells>
  <phoneticPr fontId="11" type="noConversion"/>
  <dataValidations count="1">
    <dataValidation type="list" allowBlank="1" showInputMessage="1" showErrorMessage="1" sqref="I25 I16:I17 I65:I67 I43:I57 I19 I21 I23 I27 I29 I31:I41 I69:I78 B16:D78" xr:uid="{00000000-0002-0000-0400-000000000000}">
      <formula1>#REF!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7"/>
  <sheetViews>
    <sheetView topLeftCell="A69" workbookViewId="0">
      <selection activeCell="A85" sqref="A85:E87"/>
    </sheetView>
  </sheetViews>
  <sheetFormatPr defaultRowHeight="14.4" x14ac:dyDescent="0.3"/>
  <cols>
    <col min="1" max="1" width="12.5546875" customWidth="1"/>
    <col min="2" max="2" width="10" customWidth="1"/>
    <col min="3" max="3" width="13.109375" customWidth="1"/>
    <col min="4" max="5" width="15" customWidth="1"/>
    <col min="6" max="6" width="13.33203125" bestFit="1" customWidth="1"/>
    <col min="7" max="7" width="14.88671875" style="14" customWidth="1"/>
    <col min="8" max="8" width="61.44140625" style="31" customWidth="1"/>
    <col min="9" max="9" width="17.88671875" customWidth="1"/>
    <col min="10" max="10" width="19.109375" style="14" customWidth="1"/>
    <col min="11" max="11" width="27.109375" customWidth="1"/>
    <col min="12" max="12" width="15.88671875" bestFit="1" customWidth="1"/>
    <col min="13" max="13" width="14.44140625" bestFit="1" customWidth="1"/>
    <col min="14" max="14" width="14.6640625" customWidth="1"/>
  </cols>
  <sheetData>
    <row r="1" spans="1:14" x14ac:dyDescent="0.3">
      <c r="A1" s="16"/>
      <c r="B1" s="17"/>
      <c r="C1" s="17"/>
      <c r="D1" s="17"/>
      <c r="E1" s="17"/>
      <c r="F1" s="17"/>
      <c r="G1" s="18"/>
      <c r="H1" s="30"/>
      <c r="I1" s="17"/>
      <c r="J1" s="18"/>
      <c r="K1" s="17"/>
      <c r="L1" s="17"/>
      <c r="M1" s="17"/>
      <c r="N1" s="19"/>
    </row>
    <row r="2" spans="1:14" x14ac:dyDescent="0.3">
      <c r="A2" s="20"/>
      <c r="N2" s="21"/>
    </row>
    <row r="3" spans="1:14" ht="15" thickBot="1" x14ac:dyDescent="0.35">
      <c r="A3" s="20"/>
      <c r="N3" s="21"/>
    </row>
    <row r="4" spans="1:14" ht="21.6" customHeight="1" thickBot="1" x14ac:dyDescent="0.45">
      <c r="A4" s="244" t="s">
        <v>171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6"/>
      <c r="M4" s="247"/>
      <c r="N4" s="248"/>
    </row>
    <row r="5" spans="1:14" ht="18.600000000000001" thickBot="1" x14ac:dyDescent="0.4">
      <c r="A5" s="249" t="s">
        <v>172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L5" s="22"/>
      <c r="M5" s="22"/>
      <c r="N5" s="23"/>
    </row>
    <row r="6" spans="1:14" ht="50.25" hidden="1" customHeight="1" x14ac:dyDescent="0.3">
      <c r="A6" s="252" t="s">
        <v>0</v>
      </c>
      <c r="B6" s="253" t="s">
        <v>1</v>
      </c>
      <c r="C6" s="253"/>
      <c r="D6" s="5" t="s">
        <v>2</v>
      </c>
      <c r="E6" s="5"/>
      <c r="F6" s="5"/>
      <c r="G6" s="10" t="s">
        <v>3</v>
      </c>
      <c r="H6" s="43" t="s">
        <v>4</v>
      </c>
      <c r="I6" s="6" t="s">
        <v>5</v>
      </c>
      <c r="J6" s="15" t="s">
        <v>6</v>
      </c>
      <c r="K6" s="7" t="s">
        <v>7</v>
      </c>
      <c r="L6" s="22"/>
      <c r="M6" s="22"/>
      <c r="N6" s="23"/>
    </row>
    <row r="7" spans="1:14" ht="18.600000000000001" hidden="1" thickBot="1" x14ac:dyDescent="0.4">
      <c r="A7" s="252"/>
      <c r="B7" s="254" t="s">
        <v>8</v>
      </c>
      <c r="C7" s="255"/>
      <c r="D7" s="8" t="s">
        <v>9</v>
      </c>
      <c r="E7" s="8"/>
      <c r="F7" s="8"/>
      <c r="G7" s="8" t="s">
        <v>10</v>
      </c>
      <c r="H7" s="44" t="s">
        <v>9</v>
      </c>
      <c r="I7" s="8" t="s">
        <v>10</v>
      </c>
      <c r="J7" s="9" t="s">
        <v>11</v>
      </c>
      <c r="K7" s="256" t="s">
        <v>12</v>
      </c>
      <c r="L7" s="22"/>
      <c r="M7" s="22"/>
      <c r="N7" s="23"/>
    </row>
    <row r="8" spans="1:14" ht="29.4" hidden="1" thickBot="1" x14ac:dyDescent="0.35">
      <c r="A8" s="252" t="s">
        <v>13</v>
      </c>
      <c r="B8" s="252" t="s">
        <v>14</v>
      </c>
      <c r="C8" s="252"/>
      <c r="D8" s="10" t="s">
        <v>15</v>
      </c>
      <c r="E8" s="10"/>
      <c r="F8" s="10"/>
      <c r="G8" s="11" t="s">
        <v>3</v>
      </c>
      <c r="H8" s="43" t="s">
        <v>4</v>
      </c>
      <c r="I8" s="11" t="s">
        <v>5</v>
      </c>
      <c r="J8" s="12" t="s">
        <v>6</v>
      </c>
      <c r="K8" s="257"/>
      <c r="L8" s="22"/>
      <c r="M8" s="22"/>
      <c r="N8" s="23"/>
    </row>
    <row r="9" spans="1:14" ht="18.600000000000001" hidden="1" thickBot="1" x14ac:dyDescent="0.4">
      <c r="A9" s="252"/>
      <c r="B9" s="254" t="s">
        <v>9</v>
      </c>
      <c r="C9" s="255"/>
      <c r="D9" s="8" t="s">
        <v>8</v>
      </c>
      <c r="E9" s="8"/>
      <c r="F9" s="8"/>
      <c r="G9" s="8" t="s">
        <v>10</v>
      </c>
      <c r="H9" s="44" t="s">
        <v>16</v>
      </c>
      <c r="I9" s="8" t="s">
        <v>17</v>
      </c>
      <c r="J9" s="9" t="s">
        <v>18</v>
      </c>
      <c r="K9" s="258"/>
      <c r="L9" s="22"/>
      <c r="M9" s="22"/>
      <c r="N9" s="23"/>
    </row>
    <row r="10" spans="1:14" x14ac:dyDescent="0.3">
      <c r="A10" s="262"/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4"/>
    </row>
    <row r="11" spans="1:14" x14ac:dyDescent="0.3">
      <c r="A11" s="265"/>
      <c r="B11" s="266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7"/>
    </row>
    <row r="12" spans="1:14" ht="34.5" customHeight="1" thickBot="1" x14ac:dyDescent="0.35">
      <c r="A12" s="265"/>
      <c r="B12" s="266"/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9"/>
    </row>
    <row r="13" spans="1:14" ht="47.4" thickBot="1" x14ac:dyDescent="0.35">
      <c r="A13" s="24" t="s">
        <v>28</v>
      </c>
      <c r="B13" s="4">
        <v>31</v>
      </c>
      <c r="C13" s="4" t="s">
        <v>29</v>
      </c>
      <c r="D13" s="1">
        <f>E83/1440</f>
        <v>1.5</v>
      </c>
      <c r="E13" s="1"/>
      <c r="F13" s="1"/>
      <c r="G13" s="4" t="s">
        <v>30</v>
      </c>
      <c r="H13" s="4">
        <f>+B13-D13</f>
        <v>29.5</v>
      </c>
      <c r="I13" s="4" t="s">
        <v>31</v>
      </c>
      <c r="J13" s="4">
        <v>2</v>
      </c>
      <c r="K13" s="4" t="s">
        <v>52</v>
      </c>
      <c r="L13" s="1">
        <v>720</v>
      </c>
      <c r="M13" s="4" t="s">
        <v>33</v>
      </c>
      <c r="N13" s="29">
        <f>+((H13*J13*L13)-G83)/(H13*J13*L13)</f>
        <v>0.9746939736346516</v>
      </c>
    </row>
    <row r="14" spans="1:14" ht="21.6" thickBot="1" x14ac:dyDescent="0.45">
      <c r="A14" s="270" t="s">
        <v>183</v>
      </c>
      <c r="B14" s="271"/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3"/>
    </row>
    <row r="15" spans="1:14" ht="54" x14ac:dyDescent="0.3">
      <c r="A15" s="25" t="s">
        <v>19</v>
      </c>
      <c r="B15" s="4" t="s">
        <v>20</v>
      </c>
      <c r="C15" s="4" t="s">
        <v>21</v>
      </c>
      <c r="D15" s="1" t="s">
        <v>22</v>
      </c>
      <c r="E15" s="27" t="s">
        <v>49</v>
      </c>
      <c r="F15" s="27" t="s">
        <v>57</v>
      </c>
      <c r="G15" s="27" t="s">
        <v>56</v>
      </c>
      <c r="H15" s="45" t="s">
        <v>23</v>
      </c>
      <c r="I15" s="27" t="s">
        <v>24</v>
      </c>
      <c r="J15" s="27" t="s">
        <v>32</v>
      </c>
      <c r="K15" s="312" t="s">
        <v>25</v>
      </c>
      <c r="L15" s="313"/>
      <c r="M15" s="313"/>
      <c r="N15" s="314"/>
    </row>
    <row r="16" spans="1:14" x14ac:dyDescent="0.3">
      <c r="A16" s="59">
        <v>46023</v>
      </c>
      <c r="B16" s="60" t="s">
        <v>43</v>
      </c>
      <c r="C16" s="61" t="s">
        <v>27</v>
      </c>
      <c r="D16" s="60" t="s">
        <v>26</v>
      </c>
      <c r="E16" s="61">
        <v>720</v>
      </c>
      <c r="F16" s="61">
        <v>0</v>
      </c>
      <c r="G16" s="83">
        <v>0</v>
      </c>
      <c r="H16" s="50" t="s">
        <v>60</v>
      </c>
      <c r="I16" s="38" t="s">
        <v>53</v>
      </c>
      <c r="J16" s="2" t="s">
        <v>65</v>
      </c>
      <c r="K16" s="286" t="s">
        <v>59</v>
      </c>
      <c r="L16" s="287"/>
      <c r="M16" s="287"/>
      <c r="N16" s="288"/>
    </row>
    <row r="17" spans="1:14" x14ac:dyDescent="0.3">
      <c r="A17" s="59">
        <v>46023</v>
      </c>
      <c r="B17" s="60" t="s">
        <v>43</v>
      </c>
      <c r="C17" s="61" t="s">
        <v>45</v>
      </c>
      <c r="D17" s="60" t="s">
        <v>26</v>
      </c>
      <c r="E17" s="61">
        <v>0</v>
      </c>
      <c r="F17" s="61">
        <v>0</v>
      </c>
      <c r="G17" s="83">
        <v>20</v>
      </c>
      <c r="H17" s="50" t="s">
        <v>67</v>
      </c>
      <c r="I17" s="38" t="s">
        <v>35</v>
      </c>
      <c r="J17" s="2" t="s">
        <v>66</v>
      </c>
      <c r="K17" s="39"/>
      <c r="L17" s="41"/>
      <c r="M17" s="41"/>
      <c r="N17" s="42"/>
    </row>
    <row r="18" spans="1:14" x14ac:dyDescent="0.3">
      <c r="A18" s="59">
        <v>46024</v>
      </c>
      <c r="B18" s="60" t="s">
        <v>43</v>
      </c>
      <c r="C18" s="37" t="s">
        <v>27</v>
      </c>
      <c r="D18" s="60" t="s">
        <v>26</v>
      </c>
      <c r="E18" s="2">
        <v>0</v>
      </c>
      <c r="F18" s="2">
        <v>0</v>
      </c>
      <c r="G18" s="2">
        <v>0</v>
      </c>
      <c r="H18" s="46" t="s">
        <v>74</v>
      </c>
      <c r="I18" s="3" t="s">
        <v>75</v>
      </c>
      <c r="J18" s="2" t="s">
        <v>76</v>
      </c>
      <c r="K18" s="39"/>
      <c r="L18" s="41"/>
      <c r="M18" s="41"/>
      <c r="N18" s="42"/>
    </row>
    <row r="19" spans="1:14" x14ac:dyDescent="0.3">
      <c r="A19" s="59">
        <v>46024</v>
      </c>
      <c r="B19" s="60" t="s">
        <v>43</v>
      </c>
      <c r="C19" s="37" t="s">
        <v>45</v>
      </c>
      <c r="D19" s="60" t="s">
        <v>26</v>
      </c>
      <c r="E19" s="2">
        <v>0</v>
      </c>
      <c r="F19" s="2">
        <v>30</v>
      </c>
      <c r="G19" s="2">
        <v>0</v>
      </c>
      <c r="H19" s="46" t="s">
        <v>72</v>
      </c>
      <c r="I19" s="38"/>
      <c r="J19" s="2"/>
      <c r="K19" s="39"/>
      <c r="L19" s="41"/>
      <c r="M19" s="41"/>
      <c r="N19" s="42"/>
    </row>
    <row r="20" spans="1:14" x14ac:dyDescent="0.3">
      <c r="A20" s="59">
        <v>46024</v>
      </c>
      <c r="B20" s="13" t="s">
        <v>43</v>
      </c>
      <c r="C20" s="37" t="s">
        <v>45</v>
      </c>
      <c r="D20" s="13" t="s">
        <v>26</v>
      </c>
      <c r="E20" s="2">
        <v>0</v>
      </c>
      <c r="F20" s="2">
        <v>0</v>
      </c>
      <c r="G20" s="2">
        <v>20</v>
      </c>
      <c r="H20" s="46" t="s">
        <v>77</v>
      </c>
      <c r="I20" s="38" t="s">
        <v>35</v>
      </c>
      <c r="J20" s="2" t="s">
        <v>78</v>
      </c>
      <c r="K20" s="286"/>
      <c r="L20" s="287"/>
      <c r="M20" s="287"/>
      <c r="N20" s="288"/>
    </row>
    <row r="21" spans="1:14" x14ac:dyDescent="0.3">
      <c r="A21" s="59">
        <v>46025</v>
      </c>
      <c r="B21" s="13" t="s">
        <v>43</v>
      </c>
      <c r="C21" s="37" t="s">
        <v>27</v>
      </c>
      <c r="D21" s="13" t="s">
        <v>26</v>
      </c>
      <c r="E21" s="2">
        <v>0</v>
      </c>
      <c r="F21" s="2">
        <v>0</v>
      </c>
      <c r="G21" s="2">
        <v>0</v>
      </c>
      <c r="H21" s="46" t="s">
        <v>89</v>
      </c>
      <c r="I21" s="38"/>
      <c r="J21" s="2"/>
      <c r="K21" s="286"/>
      <c r="L21" s="287"/>
      <c r="M21" s="287"/>
      <c r="N21" s="288"/>
    </row>
    <row r="22" spans="1:14" x14ac:dyDescent="0.3">
      <c r="A22" s="59">
        <v>46025</v>
      </c>
      <c r="B22" s="13" t="s">
        <v>43</v>
      </c>
      <c r="C22" s="37" t="s">
        <v>45</v>
      </c>
      <c r="D22" s="13" t="s">
        <v>26</v>
      </c>
      <c r="E22" s="2">
        <v>0</v>
      </c>
      <c r="F22" s="2">
        <v>180</v>
      </c>
      <c r="G22" s="2">
        <v>0</v>
      </c>
      <c r="H22" s="46" t="s">
        <v>90</v>
      </c>
      <c r="I22" s="38"/>
      <c r="J22" s="2"/>
      <c r="K22" s="40"/>
      <c r="L22" s="41"/>
      <c r="M22" s="41"/>
      <c r="N22" s="42"/>
    </row>
    <row r="23" spans="1:14" x14ac:dyDescent="0.3">
      <c r="A23" s="59">
        <v>46025</v>
      </c>
      <c r="B23" s="13" t="s">
        <v>43</v>
      </c>
      <c r="C23" s="37" t="s">
        <v>45</v>
      </c>
      <c r="D23" s="13" t="s">
        <v>26</v>
      </c>
      <c r="E23" s="2">
        <v>0</v>
      </c>
      <c r="F23" s="49">
        <v>30</v>
      </c>
      <c r="G23" s="2">
        <v>0</v>
      </c>
      <c r="H23" s="46" t="s">
        <v>91</v>
      </c>
      <c r="I23" s="38"/>
      <c r="J23" s="2"/>
      <c r="K23" s="286"/>
      <c r="L23" s="287"/>
      <c r="M23" s="287"/>
      <c r="N23" s="288"/>
    </row>
    <row r="24" spans="1:14" x14ac:dyDescent="0.3">
      <c r="A24" s="59">
        <v>46026</v>
      </c>
      <c r="B24" s="13" t="s">
        <v>43</v>
      </c>
      <c r="C24" s="37" t="s">
        <v>27</v>
      </c>
      <c r="D24" s="13" t="s">
        <v>26</v>
      </c>
      <c r="E24" s="49">
        <v>0</v>
      </c>
      <c r="F24" s="49">
        <v>210</v>
      </c>
      <c r="G24" s="2">
        <v>0</v>
      </c>
      <c r="H24" s="46" t="s">
        <v>79</v>
      </c>
      <c r="I24" s="38"/>
      <c r="J24" s="2"/>
      <c r="K24" s="40"/>
      <c r="L24" s="41"/>
      <c r="M24" s="41"/>
      <c r="N24" s="42"/>
    </row>
    <row r="25" spans="1:14" x14ac:dyDescent="0.3">
      <c r="A25" s="59">
        <v>46026</v>
      </c>
      <c r="B25" s="13" t="s">
        <v>43</v>
      </c>
      <c r="C25" s="37" t="s">
        <v>45</v>
      </c>
      <c r="D25" s="13" t="s">
        <v>26</v>
      </c>
      <c r="E25" s="49">
        <v>0</v>
      </c>
      <c r="F25" s="49">
        <v>720</v>
      </c>
      <c r="G25" s="2">
        <v>0</v>
      </c>
      <c r="H25" s="46" t="s">
        <v>79</v>
      </c>
      <c r="I25" s="38"/>
      <c r="J25" s="2"/>
      <c r="K25" s="286"/>
      <c r="L25" s="287"/>
      <c r="M25" s="287"/>
      <c r="N25" s="288"/>
    </row>
    <row r="26" spans="1:14" x14ac:dyDescent="0.3">
      <c r="A26" s="59">
        <v>46027</v>
      </c>
      <c r="B26" s="13" t="s">
        <v>43</v>
      </c>
      <c r="C26" s="61" t="s">
        <v>27</v>
      </c>
      <c r="D26" s="13" t="s">
        <v>26</v>
      </c>
      <c r="E26" s="60">
        <v>0</v>
      </c>
      <c r="F26" s="60">
        <v>720</v>
      </c>
      <c r="G26" s="83">
        <v>0</v>
      </c>
      <c r="H26" s="46" t="s">
        <v>79</v>
      </c>
      <c r="I26" s="62"/>
      <c r="J26" s="60"/>
      <c r="K26" s="241"/>
      <c r="L26" s="242"/>
      <c r="M26" s="242"/>
      <c r="N26" s="243"/>
    </row>
    <row r="27" spans="1:14" x14ac:dyDescent="0.3">
      <c r="A27" s="59">
        <v>46027</v>
      </c>
      <c r="B27" s="13" t="s">
        <v>43</v>
      </c>
      <c r="C27" s="61" t="s">
        <v>45</v>
      </c>
      <c r="D27" s="13" t="s">
        <v>26</v>
      </c>
      <c r="E27" s="60">
        <v>0</v>
      </c>
      <c r="F27" s="60">
        <v>720</v>
      </c>
      <c r="G27" s="83">
        <v>0</v>
      </c>
      <c r="H27" s="46" t="s">
        <v>79</v>
      </c>
      <c r="I27" s="62"/>
      <c r="J27" s="60"/>
      <c r="K27" s="66"/>
      <c r="L27" s="67"/>
      <c r="M27" s="67"/>
      <c r="N27" s="68"/>
    </row>
    <row r="28" spans="1:14" x14ac:dyDescent="0.3">
      <c r="A28" s="59">
        <v>46028</v>
      </c>
      <c r="B28" s="13" t="s">
        <v>43</v>
      </c>
      <c r="C28" s="61" t="s">
        <v>27</v>
      </c>
      <c r="D28" s="13" t="s">
        <v>26</v>
      </c>
      <c r="E28" s="60">
        <v>0</v>
      </c>
      <c r="F28" s="60">
        <v>720</v>
      </c>
      <c r="G28" s="83">
        <v>0</v>
      </c>
      <c r="H28" s="46" t="s">
        <v>79</v>
      </c>
      <c r="I28" s="38"/>
      <c r="J28" s="2"/>
      <c r="K28" s="40"/>
      <c r="L28" s="41"/>
      <c r="M28" s="41"/>
      <c r="N28" s="42"/>
    </row>
    <row r="29" spans="1:14" x14ac:dyDescent="0.3">
      <c r="A29" s="59">
        <v>46028</v>
      </c>
      <c r="B29" s="13" t="s">
        <v>43</v>
      </c>
      <c r="C29" s="61" t="s">
        <v>45</v>
      </c>
      <c r="D29" s="13" t="s">
        <v>26</v>
      </c>
      <c r="E29" s="60">
        <v>0</v>
      </c>
      <c r="F29" s="60">
        <v>720</v>
      </c>
      <c r="G29" s="83">
        <v>0</v>
      </c>
      <c r="H29" s="46" t="s">
        <v>79</v>
      </c>
      <c r="I29" s="38"/>
      <c r="J29" s="2"/>
      <c r="K29" s="40"/>
      <c r="L29" s="41"/>
      <c r="M29" s="41"/>
      <c r="N29" s="42"/>
    </row>
    <row r="30" spans="1:14" x14ac:dyDescent="0.3">
      <c r="A30" s="59">
        <v>46029</v>
      </c>
      <c r="B30" s="13" t="s">
        <v>43</v>
      </c>
      <c r="C30" s="37" t="s">
        <v>27</v>
      </c>
      <c r="D30" s="13" t="s">
        <v>26</v>
      </c>
      <c r="E30" s="49">
        <v>720</v>
      </c>
      <c r="F30" s="49">
        <v>0</v>
      </c>
      <c r="G30" s="2">
        <v>0</v>
      </c>
      <c r="H30" s="46" t="s">
        <v>113</v>
      </c>
      <c r="I30" s="38" t="s">
        <v>35</v>
      </c>
      <c r="J30" s="2" t="s">
        <v>114</v>
      </c>
      <c r="K30" s="40"/>
      <c r="L30" s="41"/>
      <c r="M30" s="41"/>
      <c r="N30" s="42"/>
    </row>
    <row r="31" spans="1:14" x14ac:dyDescent="0.3">
      <c r="A31" s="59">
        <v>46029</v>
      </c>
      <c r="B31" s="13" t="s">
        <v>43</v>
      </c>
      <c r="C31" s="37" t="s">
        <v>45</v>
      </c>
      <c r="D31" s="13" t="s">
        <v>26</v>
      </c>
      <c r="E31" s="2">
        <v>0</v>
      </c>
      <c r="F31" s="49">
        <v>720</v>
      </c>
      <c r="G31" s="2">
        <v>0</v>
      </c>
      <c r="H31" s="46" t="s">
        <v>79</v>
      </c>
      <c r="I31" s="38"/>
      <c r="J31" s="2"/>
      <c r="K31" s="39"/>
      <c r="L31" s="41"/>
      <c r="M31" s="41"/>
      <c r="N31" s="42"/>
    </row>
    <row r="32" spans="1:14" x14ac:dyDescent="0.3">
      <c r="A32" s="59">
        <v>46030</v>
      </c>
      <c r="B32" s="13" t="s">
        <v>43</v>
      </c>
      <c r="C32" s="37" t="s">
        <v>27</v>
      </c>
      <c r="D32" s="13" t="s">
        <v>26</v>
      </c>
      <c r="E32" s="2">
        <v>720</v>
      </c>
      <c r="F32" s="49">
        <v>0</v>
      </c>
      <c r="G32" s="2">
        <v>0</v>
      </c>
      <c r="H32" s="46" t="s">
        <v>113</v>
      </c>
      <c r="I32" s="38" t="s">
        <v>35</v>
      </c>
      <c r="J32" s="2" t="s">
        <v>120</v>
      </c>
      <c r="K32" s="39" t="s">
        <v>128</v>
      </c>
      <c r="L32" s="41"/>
      <c r="M32" s="41"/>
      <c r="N32" s="42"/>
    </row>
    <row r="33" spans="1:14" x14ac:dyDescent="0.3">
      <c r="A33" s="59">
        <v>46030</v>
      </c>
      <c r="B33" s="13" t="s">
        <v>43</v>
      </c>
      <c r="C33" s="37" t="s">
        <v>45</v>
      </c>
      <c r="D33" s="13" t="s">
        <v>26</v>
      </c>
      <c r="E33" s="2">
        <v>0</v>
      </c>
      <c r="F33" s="49">
        <v>720</v>
      </c>
      <c r="G33" s="2">
        <v>0</v>
      </c>
      <c r="H33" s="46" t="s">
        <v>79</v>
      </c>
      <c r="I33" s="3"/>
      <c r="J33" s="2"/>
      <c r="K33" s="40"/>
      <c r="L33" s="41"/>
      <c r="M33" s="41"/>
      <c r="N33" s="42"/>
    </row>
    <row r="34" spans="1:14" x14ac:dyDescent="0.3">
      <c r="A34" s="59">
        <v>46031</v>
      </c>
      <c r="B34" s="13" t="s">
        <v>43</v>
      </c>
      <c r="C34" s="37" t="s">
        <v>27</v>
      </c>
      <c r="D34" s="13" t="s">
        <v>26</v>
      </c>
      <c r="E34" s="2">
        <v>0</v>
      </c>
      <c r="F34" s="49">
        <v>720</v>
      </c>
      <c r="G34" s="2">
        <v>0</v>
      </c>
      <c r="H34" s="46" t="s">
        <v>79</v>
      </c>
      <c r="I34" s="3"/>
      <c r="J34" s="2"/>
      <c r="K34" s="40"/>
      <c r="L34" s="41"/>
      <c r="M34" s="41"/>
      <c r="N34" s="42"/>
    </row>
    <row r="35" spans="1:14" x14ac:dyDescent="0.3">
      <c r="A35" s="59">
        <v>46031</v>
      </c>
      <c r="B35" s="13" t="s">
        <v>43</v>
      </c>
      <c r="C35" s="37" t="s">
        <v>45</v>
      </c>
      <c r="D35" s="13" t="s">
        <v>26</v>
      </c>
      <c r="E35" s="2">
        <v>0</v>
      </c>
      <c r="F35" s="49">
        <v>720</v>
      </c>
      <c r="G35" s="2">
        <v>0</v>
      </c>
      <c r="H35" s="46" t="s">
        <v>79</v>
      </c>
      <c r="I35" s="38"/>
      <c r="J35" s="2"/>
      <c r="K35" s="39"/>
      <c r="L35" s="41"/>
      <c r="M35" s="41"/>
      <c r="N35" s="42"/>
    </row>
    <row r="36" spans="1:14" x14ac:dyDescent="0.3">
      <c r="A36" s="59">
        <v>46032</v>
      </c>
      <c r="B36" s="13" t="s">
        <v>43</v>
      </c>
      <c r="C36" s="37" t="s">
        <v>27</v>
      </c>
      <c r="D36" s="13" t="s">
        <v>26</v>
      </c>
      <c r="E36" s="2">
        <v>0</v>
      </c>
      <c r="F36" s="49">
        <v>720</v>
      </c>
      <c r="G36" s="2">
        <v>0</v>
      </c>
      <c r="H36" s="46" t="s">
        <v>79</v>
      </c>
      <c r="I36" s="3"/>
      <c r="J36" s="2"/>
      <c r="K36" s="40"/>
      <c r="L36" s="41"/>
      <c r="M36" s="41"/>
      <c r="N36" s="42"/>
    </row>
    <row r="37" spans="1:14" x14ac:dyDescent="0.3">
      <c r="A37" s="59">
        <v>46032</v>
      </c>
      <c r="B37" s="13" t="s">
        <v>43</v>
      </c>
      <c r="C37" s="37" t="s">
        <v>45</v>
      </c>
      <c r="D37" s="13" t="s">
        <v>26</v>
      </c>
      <c r="E37" s="2">
        <v>0</v>
      </c>
      <c r="F37" s="49">
        <v>720</v>
      </c>
      <c r="G37" s="2">
        <v>0</v>
      </c>
      <c r="H37" s="46" t="s">
        <v>79</v>
      </c>
      <c r="I37" s="38"/>
      <c r="J37" s="2"/>
      <c r="K37" s="39"/>
      <c r="L37" s="41"/>
      <c r="M37" s="41"/>
      <c r="N37" s="42"/>
    </row>
    <row r="38" spans="1:14" x14ac:dyDescent="0.3">
      <c r="A38" s="59">
        <v>46033</v>
      </c>
      <c r="B38" s="13" t="s">
        <v>43</v>
      </c>
      <c r="C38" s="37" t="s">
        <v>27</v>
      </c>
      <c r="D38" s="13" t="s">
        <v>26</v>
      </c>
      <c r="E38" s="2">
        <v>0</v>
      </c>
      <c r="F38" s="49">
        <v>120</v>
      </c>
      <c r="G38" s="2">
        <v>0</v>
      </c>
      <c r="H38" s="46" t="s">
        <v>130</v>
      </c>
      <c r="I38" s="38"/>
      <c r="J38" s="2"/>
      <c r="K38" s="40"/>
      <c r="L38" s="41"/>
      <c r="M38" s="41"/>
      <c r="N38" s="42"/>
    </row>
    <row r="39" spans="1:14" x14ac:dyDescent="0.3">
      <c r="A39" s="59">
        <v>46033</v>
      </c>
      <c r="B39" s="13" t="s">
        <v>43</v>
      </c>
      <c r="C39" s="37" t="s">
        <v>27</v>
      </c>
      <c r="D39" s="13" t="s">
        <v>26</v>
      </c>
      <c r="E39" s="2">
        <v>0</v>
      </c>
      <c r="F39" s="49">
        <v>30</v>
      </c>
      <c r="G39" s="2">
        <v>0</v>
      </c>
      <c r="H39" s="46" t="s">
        <v>91</v>
      </c>
      <c r="I39" s="3"/>
      <c r="J39" s="2"/>
      <c r="K39" s="39"/>
      <c r="L39" s="41"/>
      <c r="M39" s="41"/>
      <c r="N39" s="42"/>
    </row>
    <row r="40" spans="1:14" x14ac:dyDescent="0.3">
      <c r="A40" s="59">
        <v>46033</v>
      </c>
      <c r="B40" s="13" t="s">
        <v>43</v>
      </c>
      <c r="C40" s="37" t="s">
        <v>27</v>
      </c>
      <c r="D40" s="13" t="s">
        <v>26</v>
      </c>
      <c r="E40" s="2">
        <v>0</v>
      </c>
      <c r="F40" s="49">
        <v>135</v>
      </c>
      <c r="G40" s="2">
        <v>0</v>
      </c>
      <c r="H40" s="46" t="s">
        <v>141</v>
      </c>
      <c r="I40" s="3"/>
      <c r="J40" s="2"/>
      <c r="K40" s="40"/>
      <c r="L40" s="41"/>
      <c r="M40" s="41"/>
      <c r="N40" s="42"/>
    </row>
    <row r="41" spans="1:14" x14ac:dyDescent="0.3">
      <c r="A41" s="59">
        <v>46033</v>
      </c>
      <c r="B41" s="13" t="s">
        <v>43</v>
      </c>
      <c r="C41" s="37" t="s">
        <v>45</v>
      </c>
      <c r="D41" s="13" t="s">
        <v>26</v>
      </c>
      <c r="E41" s="2">
        <v>0</v>
      </c>
      <c r="F41" s="49">
        <v>30</v>
      </c>
      <c r="G41" s="2">
        <v>0</v>
      </c>
      <c r="H41" s="46" t="s">
        <v>91</v>
      </c>
      <c r="I41" s="3"/>
      <c r="J41" s="2"/>
      <c r="K41" s="39"/>
      <c r="L41" s="41"/>
      <c r="M41" s="41"/>
      <c r="N41" s="42"/>
    </row>
    <row r="42" spans="1:14" x14ac:dyDescent="0.3">
      <c r="A42" s="59">
        <v>46034</v>
      </c>
      <c r="B42" s="13" t="s">
        <v>43</v>
      </c>
      <c r="C42" s="37" t="s">
        <v>27</v>
      </c>
      <c r="D42" s="13" t="s">
        <v>26</v>
      </c>
      <c r="E42" s="2">
        <v>0</v>
      </c>
      <c r="F42" s="49">
        <v>360</v>
      </c>
      <c r="G42" s="2">
        <v>0</v>
      </c>
      <c r="H42" s="46" t="s">
        <v>142</v>
      </c>
      <c r="I42" s="38"/>
      <c r="J42" s="2"/>
      <c r="K42" s="40"/>
      <c r="L42" s="41"/>
      <c r="M42" s="41"/>
      <c r="N42" s="42"/>
    </row>
    <row r="43" spans="1:14" x14ac:dyDescent="0.3">
      <c r="A43" s="59">
        <v>46034</v>
      </c>
      <c r="B43" s="13" t="s">
        <v>43</v>
      </c>
      <c r="C43" s="37" t="s">
        <v>45</v>
      </c>
      <c r="D43" s="13" t="s">
        <v>26</v>
      </c>
      <c r="E43" s="2">
        <v>0</v>
      </c>
      <c r="F43" s="49">
        <v>0</v>
      </c>
      <c r="G43" s="2">
        <v>0</v>
      </c>
      <c r="H43" s="46" t="s">
        <v>89</v>
      </c>
      <c r="I43" s="3"/>
      <c r="J43" s="2"/>
      <c r="K43" s="40"/>
      <c r="L43" s="41"/>
      <c r="M43" s="41"/>
      <c r="N43" s="42"/>
    </row>
    <row r="44" spans="1:14" x14ac:dyDescent="0.3">
      <c r="A44" s="59">
        <v>46035</v>
      </c>
      <c r="B44" s="13" t="s">
        <v>43</v>
      </c>
      <c r="C44" s="37" t="s">
        <v>27</v>
      </c>
      <c r="D44" s="13" t="s">
        <v>26</v>
      </c>
      <c r="E44" s="2">
        <v>0</v>
      </c>
      <c r="F44" s="49">
        <v>0</v>
      </c>
      <c r="G44" s="2">
        <v>60</v>
      </c>
      <c r="H44" s="46" t="s">
        <v>143</v>
      </c>
      <c r="I44" s="38" t="s">
        <v>37</v>
      </c>
      <c r="J44" s="2" t="s">
        <v>144</v>
      </c>
      <c r="K44" s="283"/>
      <c r="L44" s="284"/>
      <c r="M44" s="284"/>
      <c r="N44" s="285"/>
    </row>
    <row r="45" spans="1:14" x14ac:dyDescent="0.3">
      <c r="A45" s="59">
        <v>46035</v>
      </c>
      <c r="B45" s="13" t="s">
        <v>43</v>
      </c>
      <c r="C45" s="37" t="s">
        <v>45</v>
      </c>
      <c r="D45" s="13" t="s">
        <v>26</v>
      </c>
      <c r="E45" s="2">
        <v>0</v>
      </c>
      <c r="F45" s="49">
        <v>0</v>
      </c>
      <c r="G45" s="2">
        <v>480</v>
      </c>
      <c r="H45" s="46" t="s">
        <v>147</v>
      </c>
      <c r="I45" s="3" t="s">
        <v>35</v>
      </c>
      <c r="J45" s="2" t="s">
        <v>145</v>
      </c>
      <c r="K45" s="39" t="s">
        <v>146</v>
      </c>
      <c r="L45" s="41"/>
      <c r="M45" s="41"/>
      <c r="N45" s="42"/>
    </row>
    <row r="46" spans="1:14" x14ac:dyDescent="0.3">
      <c r="A46" s="59">
        <v>46035</v>
      </c>
      <c r="B46" s="13" t="s">
        <v>43</v>
      </c>
      <c r="C46" s="37" t="s">
        <v>45</v>
      </c>
      <c r="D46" s="13" t="s">
        <v>26</v>
      </c>
      <c r="E46" s="2">
        <v>0</v>
      </c>
      <c r="F46" s="49">
        <v>0</v>
      </c>
      <c r="G46" s="2">
        <v>75</v>
      </c>
      <c r="H46" s="47" t="s">
        <v>148</v>
      </c>
      <c r="I46" s="38" t="s">
        <v>35</v>
      </c>
      <c r="J46" s="2" t="s">
        <v>145</v>
      </c>
      <c r="K46" s="286" t="s">
        <v>146</v>
      </c>
      <c r="L46" s="287"/>
      <c r="M46" s="287"/>
      <c r="N46" s="288"/>
    </row>
    <row r="47" spans="1:14" x14ac:dyDescent="0.3">
      <c r="A47" s="59">
        <v>46036</v>
      </c>
      <c r="B47" s="13" t="s">
        <v>43</v>
      </c>
      <c r="C47" s="37" t="s">
        <v>27</v>
      </c>
      <c r="D47" s="13" t="s">
        <v>26</v>
      </c>
      <c r="E47" s="2">
        <v>0</v>
      </c>
      <c r="F47" s="49">
        <v>0</v>
      </c>
      <c r="G47" s="2">
        <v>420</v>
      </c>
      <c r="H47" s="46" t="s">
        <v>155</v>
      </c>
      <c r="I47" s="3" t="s">
        <v>75</v>
      </c>
      <c r="J47" s="2" t="s">
        <v>156</v>
      </c>
      <c r="K47" s="286" t="s">
        <v>157</v>
      </c>
      <c r="L47" s="287"/>
      <c r="M47" s="287"/>
      <c r="N47" s="288"/>
    </row>
    <row r="48" spans="1:14" x14ac:dyDescent="0.3">
      <c r="A48" s="59">
        <v>46036</v>
      </c>
      <c r="B48" s="13" t="s">
        <v>43</v>
      </c>
      <c r="C48" s="37" t="s">
        <v>45</v>
      </c>
      <c r="D48" s="13" t="s">
        <v>26</v>
      </c>
      <c r="E48" s="2">
        <v>0</v>
      </c>
      <c r="F48" s="49">
        <v>0</v>
      </c>
      <c r="G48" s="2">
        <v>0</v>
      </c>
      <c r="H48" s="46" t="s">
        <v>82</v>
      </c>
      <c r="I48" s="3"/>
      <c r="J48" s="2"/>
      <c r="K48" s="39"/>
      <c r="L48" s="41"/>
      <c r="M48" s="41"/>
      <c r="N48" s="42"/>
    </row>
    <row r="49" spans="1:14" x14ac:dyDescent="0.3">
      <c r="A49" s="59">
        <v>46037</v>
      </c>
      <c r="B49" s="13" t="s">
        <v>43</v>
      </c>
      <c r="C49" s="37" t="s">
        <v>27</v>
      </c>
      <c r="D49" s="13" t="s">
        <v>48</v>
      </c>
      <c r="E49" s="2">
        <v>0</v>
      </c>
      <c r="F49" s="49">
        <v>0</v>
      </c>
      <c r="G49" s="2">
        <v>0</v>
      </c>
      <c r="H49" s="50" t="s">
        <v>165</v>
      </c>
      <c r="I49" s="38"/>
      <c r="J49" s="2"/>
      <c r="K49" s="39"/>
      <c r="L49" s="41"/>
      <c r="M49" s="41"/>
      <c r="N49" s="42"/>
    </row>
    <row r="50" spans="1:14" x14ac:dyDescent="0.3">
      <c r="A50" s="59">
        <v>46037</v>
      </c>
      <c r="B50" s="13" t="s">
        <v>43</v>
      </c>
      <c r="C50" s="37" t="s">
        <v>45</v>
      </c>
      <c r="D50" s="13" t="s">
        <v>48</v>
      </c>
      <c r="E50" s="2">
        <v>0</v>
      </c>
      <c r="F50" s="49">
        <v>0</v>
      </c>
      <c r="G50" s="2">
        <v>0</v>
      </c>
      <c r="H50" s="50" t="s">
        <v>165</v>
      </c>
      <c r="I50" s="3"/>
      <c r="J50" s="2"/>
      <c r="K50" s="40"/>
      <c r="L50" s="41"/>
      <c r="M50" s="41"/>
      <c r="N50" s="42"/>
    </row>
    <row r="51" spans="1:14" x14ac:dyDescent="0.3">
      <c r="A51" s="59">
        <v>46038</v>
      </c>
      <c r="B51" s="13" t="s">
        <v>43</v>
      </c>
      <c r="C51" s="37" t="s">
        <v>27</v>
      </c>
      <c r="D51" s="13" t="s">
        <v>48</v>
      </c>
      <c r="E51" s="2">
        <v>0</v>
      </c>
      <c r="F51" s="49">
        <v>0</v>
      </c>
      <c r="G51" s="2">
        <v>0</v>
      </c>
      <c r="H51" s="50" t="s">
        <v>165</v>
      </c>
      <c r="I51" s="38"/>
      <c r="J51" s="2"/>
      <c r="K51" s="39"/>
      <c r="L51" s="41"/>
      <c r="M51" s="41"/>
      <c r="N51" s="42"/>
    </row>
    <row r="52" spans="1:14" x14ac:dyDescent="0.3">
      <c r="A52" s="59">
        <v>46038</v>
      </c>
      <c r="B52" s="13" t="s">
        <v>43</v>
      </c>
      <c r="C52" s="37" t="s">
        <v>45</v>
      </c>
      <c r="D52" s="13" t="s">
        <v>48</v>
      </c>
      <c r="E52" s="2">
        <v>0</v>
      </c>
      <c r="F52" s="49">
        <v>0</v>
      </c>
      <c r="G52" s="2">
        <v>0</v>
      </c>
      <c r="H52" s="50" t="s">
        <v>165</v>
      </c>
      <c r="I52" s="3"/>
      <c r="J52" s="2"/>
      <c r="K52" s="39"/>
      <c r="L52" s="41"/>
      <c r="M52" s="41"/>
      <c r="N52" s="42"/>
    </row>
    <row r="53" spans="1:14" x14ac:dyDescent="0.3">
      <c r="A53" s="59">
        <v>46039</v>
      </c>
      <c r="B53" s="13" t="s">
        <v>43</v>
      </c>
      <c r="C53" s="37" t="s">
        <v>27</v>
      </c>
      <c r="D53" s="13" t="s">
        <v>48</v>
      </c>
      <c r="E53" s="2">
        <v>0</v>
      </c>
      <c r="F53" s="49">
        <v>0</v>
      </c>
      <c r="G53" s="2">
        <v>0</v>
      </c>
      <c r="H53" s="50" t="s">
        <v>165</v>
      </c>
      <c r="I53" s="38"/>
      <c r="J53" s="2"/>
      <c r="K53" s="286"/>
      <c r="L53" s="287"/>
      <c r="M53" s="287"/>
      <c r="N53" s="288"/>
    </row>
    <row r="54" spans="1:14" x14ac:dyDescent="0.3">
      <c r="A54" s="59">
        <v>46039</v>
      </c>
      <c r="B54" s="13" t="s">
        <v>43</v>
      </c>
      <c r="C54" s="37" t="s">
        <v>45</v>
      </c>
      <c r="D54" s="13" t="s">
        <v>48</v>
      </c>
      <c r="E54" s="2">
        <v>0</v>
      </c>
      <c r="F54" s="49">
        <v>0</v>
      </c>
      <c r="G54" s="2">
        <v>0</v>
      </c>
      <c r="H54" s="50" t="s">
        <v>165</v>
      </c>
      <c r="I54" s="3"/>
      <c r="J54" s="2"/>
      <c r="K54" s="39"/>
      <c r="L54" s="41"/>
      <c r="M54" s="41"/>
      <c r="N54" s="42"/>
    </row>
    <row r="55" spans="1:14" x14ac:dyDescent="0.3">
      <c r="A55" s="59">
        <v>46040</v>
      </c>
      <c r="B55" s="13" t="s">
        <v>43</v>
      </c>
      <c r="C55" s="37" t="s">
        <v>27</v>
      </c>
      <c r="D55" s="13" t="s">
        <v>48</v>
      </c>
      <c r="E55" s="2">
        <v>0</v>
      </c>
      <c r="F55" s="49">
        <v>0</v>
      </c>
      <c r="G55" s="2">
        <v>0</v>
      </c>
      <c r="H55" s="50" t="s">
        <v>165</v>
      </c>
      <c r="I55" s="3"/>
      <c r="J55" s="2"/>
      <c r="K55" s="39"/>
      <c r="L55" s="41"/>
      <c r="M55" s="41"/>
      <c r="N55" s="42"/>
    </row>
    <row r="56" spans="1:14" x14ac:dyDescent="0.3">
      <c r="A56" s="59">
        <v>46040</v>
      </c>
      <c r="B56" s="13" t="s">
        <v>43</v>
      </c>
      <c r="C56" s="37" t="s">
        <v>45</v>
      </c>
      <c r="D56" s="13" t="s">
        <v>48</v>
      </c>
      <c r="E56" s="2">
        <v>0</v>
      </c>
      <c r="F56" s="49">
        <v>0</v>
      </c>
      <c r="G56" s="2">
        <v>0</v>
      </c>
      <c r="H56" s="50" t="s">
        <v>165</v>
      </c>
      <c r="I56" s="3"/>
      <c r="J56" s="2"/>
      <c r="K56" s="39"/>
      <c r="L56" s="41"/>
      <c r="M56" s="41"/>
      <c r="N56" s="42"/>
    </row>
    <row r="57" spans="1:14" x14ac:dyDescent="0.3">
      <c r="A57" s="59">
        <v>46041</v>
      </c>
      <c r="B57" s="13" t="s">
        <v>43</v>
      </c>
      <c r="C57" s="37" t="s">
        <v>27</v>
      </c>
      <c r="D57" s="13" t="s">
        <v>48</v>
      </c>
      <c r="E57" s="2">
        <v>0</v>
      </c>
      <c r="F57" s="49">
        <v>0</v>
      </c>
      <c r="G57" s="2">
        <v>0</v>
      </c>
      <c r="H57" s="50" t="s">
        <v>165</v>
      </c>
      <c r="I57" s="3"/>
      <c r="J57" s="2"/>
      <c r="K57" s="39"/>
      <c r="L57" s="41"/>
      <c r="M57" s="41"/>
      <c r="N57" s="42"/>
    </row>
    <row r="58" spans="1:14" x14ac:dyDescent="0.3">
      <c r="A58" s="59">
        <v>46041</v>
      </c>
      <c r="B58" s="13" t="s">
        <v>43</v>
      </c>
      <c r="C58" s="37" t="s">
        <v>45</v>
      </c>
      <c r="D58" s="13" t="s">
        <v>48</v>
      </c>
      <c r="E58" s="2">
        <v>0</v>
      </c>
      <c r="F58" s="49">
        <v>0</v>
      </c>
      <c r="G58" s="2">
        <v>0</v>
      </c>
      <c r="H58" s="50" t="s">
        <v>165</v>
      </c>
      <c r="I58" s="3"/>
      <c r="J58" s="2"/>
      <c r="K58" s="40"/>
      <c r="L58" s="41"/>
      <c r="M58" s="41"/>
      <c r="N58" s="42"/>
    </row>
    <row r="59" spans="1:14" x14ac:dyDescent="0.3">
      <c r="A59" s="59">
        <v>46042</v>
      </c>
      <c r="B59" s="13" t="s">
        <v>43</v>
      </c>
      <c r="C59" s="37" t="s">
        <v>27</v>
      </c>
      <c r="D59" s="13" t="s">
        <v>48</v>
      </c>
      <c r="E59" s="2">
        <v>0</v>
      </c>
      <c r="F59" s="49">
        <v>0</v>
      </c>
      <c r="G59" s="2">
        <v>0</v>
      </c>
      <c r="H59" s="50" t="s">
        <v>165</v>
      </c>
      <c r="I59" s="3"/>
      <c r="J59" s="2"/>
      <c r="K59" s="39"/>
      <c r="L59" s="41"/>
      <c r="M59" s="41"/>
      <c r="N59" s="42"/>
    </row>
    <row r="60" spans="1:14" x14ac:dyDescent="0.3">
      <c r="A60" s="59">
        <v>46042</v>
      </c>
      <c r="B60" s="13" t="s">
        <v>43</v>
      </c>
      <c r="C60" s="37" t="s">
        <v>45</v>
      </c>
      <c r="D60" s="13" t="s">
        <v>48</v>
      </c>
      <c r="E60" s="2">
        <v>0</v>
      </c>
      <c r="F60" s="49">
        <v>0</v>
      </c>
      <c r="G60" s="2">
        <v>0</v>
      </c>
      <c r="H60" s="50" t="s">
        <v>165</v>
      </c>
      <c r="I60" s="3"/>
      <c r="J60" s="2"/>
      <c r="K60" s="40"/>
      <c r="L60" s="41"/>
      <c r="M60" s="41"/>
      <c r="N60" s="42"/>
    </row>
    <row r="61" spans="1:14" x14ac:dyDescent="0.3">
      <c r="A61" s="59">
        <v>46043</v>
      </c>
      <c r="B61" s="13" t="s">
        <v>43</v>
      </c>
      <c r="C61" s="37" t="s">
        <v>27</v>
      </c>
      <c r="D61" s="13" t="s">
        <v>48</v>
      </c>
      <c r="E61" s="2">
        <v>0</v>
      </c>
      <c r="F61" s="49">
        <v>0</v>
      </c>
      <c r="G61" s="2">
        <v>0</v>
      </c>
      <c r="H61" s="50" t="s">
        <v>165</v>
      </c>
      <c r="I61" s="3"/>
      <c r="J61" s="2"/>
      <c r="K61" s="286"/>
      <c r="L61" s="287"/>
      <c r="M61" s="287"/>
      <c r="N61" s="288"/>
    </row>
    <row r="62" spans="1:14" x14ac:dyDescent="0.3">
      <c r="A62" s="59">
        <v>46043</v>
      </c>
      <c r="B62" s="13" t="s">
        <v>43</v>
      </c>
      <c r="C62" s="37" t="s">
        <v>45</v>
      </c>
      <c r="D62" s="13" t="s">
        <v>48</v>
      </c>
      <c r="E62" s="2">
        <v>0</v>
      </c>
      <c r="F62" s="49">
        <v>0</v>
      </c>
      <c r="G62" s="2">
        <v>0</v>
      </c>
      <c r="H62" s="50" t="s">
        <v>165</v>
      </c>
      <c r="I62" s="38"/>
      <c r="J62" s="2"/>
      <c r="K62" s="39"/>
      <c r="L62" s="41"/>
      <c r="M62" s="41"/>
      <c r="N62" s="42"/>
    </row>
    <row r="63" spans="1:14" x14ac:dyDescent="0.3">
      <c r="A63" s="59">
        <v>46044</v>
      </c>
      <c r="B63" s="13" t="s">
        <v>43</v>
      </c>
      <c r="C63" s="37" t="s">
        <v>27</v>
      </c>
      <c r="D63" s="13" t="s">
        <v>48</v>
      </c>
      <c r="E63" s="2">
        <v>0</v>
      </c>
      <c r="F63" s="49">
        <v>0</v>
      </c>
      <c r="G63" s="2">
        <v>0</v>
      </c>
      <c r="H63" s="50" t="s">
        <v>165</v>
      </c>
      <c r="I63" s="3"/>
      <c r="J63" s="2"/>
      <c r="K63" s="40"/>
      <c r="L63" s="41"/>
      <c r="M63" s="41"/>
      <c r="N63" s="42"/>
    </row>
    <row r="64" spans="1:14" x14ac:dyDescent="0.3">
      <c r="A64" s="59">
        <v>46044</v>
      </c>
      <c r="B64" s="13" t="s">
        <v>43</v>
      </c>
      <c r="C64" s="37" t="s">
        <v>45</v>
      </c>
      <c r="D64" s="13" t="s">
        <v>48</v>
      </c>
      <c r="E64" s="2">
        <v>0</v>
      </c>
      <c r="F64" s="49">
        <v>0</v>
      </c>
      <c r="G64" s="2">
        <v>0</v>
      </c>
      <c r="H64" s="50" t="s">
        <v>165</v>
      </c>
      <c r="I64" s="38"/>
      <c r="J64" s="2"/>
      <c r="K64" s="40"/>
      <c r="L64" s="41"/>
      <c r="M64" s="41"/>
      <c r="N64" s="42"/>
    </row>
    <row r="65" spans="1:14" x14ac:dyDescent="0.3">
      <c r="A65" s="59">
        <v>46045</v>
      </c>
      <c r="B65" s="13" t="s">
        <v>43</v>
      </c>
      <c r="C65" s="37" t="s">
        <v>27</v>
      </c>
      <c r="D65" s="13" t="s">
        <v>48</v>
      </c>
      <c r="E65" s="2">
        <v>0</v>
      </c>
      <c r="F65" s="49">
        <v>0</v>
      </c>
      <c r="G65" s="2">
        <v>0</v>
      </c>
      <c r="H65" s="50" t="s">
        <v>165</v>
      </c>
      <c r="I65" s="38"/>
      <c r="J65" s="2"/>
      <c r="K65" s="40"/>
      <c r="L65" s="41"/>
      <c r="M65" s="41"/>
      <c r="N65" s="42"/>
    </row>
    <row r="66" spans="1:14" x14ac:dyDescent="0.3">
      <c r="A66" s="59">
        <v>46045</v>
      </c>
      <c r="B66" s="13" t="s">
        <v>43</v>
      </c>
      <c r="C66" s="37" t="s">
        <v>45</v>
      </c>
      <c r="D66" s="13" t="s">
        <v>48</v>
      </c>
      <c r="E66" s="2">
        <v>0</v>
      </c>
      <c r="F66" s="49">
        <v>0</v>
      </c>
      <c r="G66" s="2">
        <v>0</v>
      </c>
      <c r="H66" s="50" t="s">
        <v>165</v>
      </c>
      <c r="I66" s="38"/>
      <c r="J66" s="2"/>
      <c r="K66" s="40"/>
      <c r="L66" s="41"/>
      <c r="M66" s="41"/>
      <c r="N66" s="42"/>
    </row>
    <row r="67" spans="1:14" x14ac:dyDescent="0.3">
      <c r="A67" s="59">
        <v>46046</v>
      </c>
      <c r="B67" s="13" t="s">
        <v>43</v>
      </c>
      <c r="C67" s="61" t="s">
        <v>27</v>
      </c>
      <c r="D67" s="60" t="s">
        <v>48</v>
      </c>
      <c r="E67" s="2">
        <v>0</v>
      </c>
      <c r="F67" s="49">
        <v>0</v>
      </c>
      <c r="G67" s="2">
        <v>0</v>
      </c>
      <c r="H67" s="50" t="s">
        <v>165</v>
      </c>
      <c r="I67" s="38"/>
      <c r="J67" s="2"/>
      <c r="K67" s="39"/>
      <c r="L67" s="41"/>
      <c r="M67" s="41"/>
      <c r="N67" s="42"/>
    </row>
    <row r="68" spans="1:14" x14ac:dyDescent="0.3">
      <c r="A68" s="59">
        <v>46046</v>
      </c>
      <c r="B68" s="13" t="s">
        <v>43</v>
      </c>
      <c r="C68" s="61" t="s">
        <v>45</v>
      </c>
      <c r="D68" s="60" t="s">
        <v>48</v>
      </c>
      <c r="E68" s="2">
        <v>0</v>
      </c>
      <c r="F68" s="49">
        <v>0</v>
      </c>
      <c r="G68" s="2">
        <v>0</v>
      </c>
      <c r="H68" s="50" t="s">
        <v>165</v>
      </c>
      <c r="I68" s="38"/>
      <c r="J68" s="2"/>
      <c r="K68" s="40"/>
      <c r="L68" s="41"/>
      <c r="M68" s="41"/>
      <c r="N68" s="42"/>
    </row>
    <row r="69" spans="1:14" x14ac:dyDescent="0.3">
      <c r="A69" s="59">
        <v>46047</v>
      </c>
      <c r="B69" s="13" t="s">
        <v>43</v>
      </c>
      <c r="C69" s="61" t="s">
        <v>27</v>
      </c>
      <c r="D69" s="60" t="s">
        <v>48</v>
      </c>
      <c r="E69" s="2">
        <v>0</v>
      </c>
      <c r="F69" s="49">
        <v>0</v>
      </c>
      <c r="G69" s="2">
        <v>0</v>
      </c>
      <c r="H69" s="50" t="s">
        <v>165</v>
      </c>
      <c r="I69" s="38"/>
      <c r="J69" s="2"/>
      <c r="K69" s="39"/>
      <c r="L69" s="41"/>
      <c r="M69" s="41"/>
      <c r="N69" s="42"/>
    </row>
    <row r="70" spans="1:14" x14ac:dyDescent="0.3">
      <c r="A70" s="59">
        <v>46047</v>
      </c>
      <c r="B70" s="13" t="s">
        <v>43</v>
      </c>
      <c r="C70" s="61" t="s">
        <v>45</v>
      </c>
      <c r="D70" s="60" t="s">
        <v>48</v>
      </c>
      <c r="E70" s="2">
        <v>0</v>
      </c>
      <c r="F70" s="49">
        <v>0</v>
      </c>
      <c r="G70" s="2">
        <v>0</v>
      </c>
      <c r="H70" s="50" t="s">
        <v>165</v>
      </c>
      <c r="I70" s="38"/>
      <c r="J70" s="2"/>
      <c r="K70" s="40"/>
      <c r="L70" s="41"/>
      <c r="M70" s="41"/>
      <c r="N70" s="42"/>
    </row>
    <row r="71" spans="1:14" x14ac:dyDescent="0.3">
      <c r="A71" s="59">
        <v>46048</v>
      </c>
      <c r="B71" s="13" t="s">
        <v>43</v>
      </c>
      <c r="C71" s="61" t="s">
        <v>27</v>
      </c>
      <c r="D71" s="60" t="s">
        <v>48</v>
      </c>
      <c r="E71" s="2">
        <v>0</v>
      </c>
      <c r="F71" s="49">
        <v>0</v>
      </c>
      <c r="G71" s="2">
        <v>0</v>
      </c>
      <c r="H71" s="50" t="s">
        <v>165</v>
      </c>
      <c r="I71" s="38"/>
      <c r="J71" s="2"/>
      <c r="K71" s="39"/>
      <c r="L71" s="41"/>
      <c r="M71" s="41"/>
      <c r="N71" s="42"/>
    </row>
    <row r="72" spans="1:14" x14ac:dyDescent="0.3">
      <c r="A72" s="59">
        <v>46048</v>
      </c>
      <c r="B72" s="13" t="s">
        <v>43</v>
      </c>
      <c r="C72" s="61" t="s">
        <v>45</v>
      </c>
      <c r="D72" s="60" t="s">
        <v>48</v>
      </c>
      <c r="E72" s="2">
        <v>0</v>
      </c>
      <c r="F72" s="49">
        <v>0</v>
      </c>
      <c r="G72" s="2">
        <v>0</v>
      </c>
      <c r="H72" s="50" t="s">
        <v>165</v>
      </c>
      <c r="I72" s="38"/>
      <c r="J72" s="2"/>
      <c r="K72" s="40"/>
      <c r="L72" s="41"/>
      <c r="M72" s="41"/>
      <c r="N72" s="42"/>
    </row>
    <row r="73" spans="1:14" x14ac:dyDescent="0.3">
      <c r="A73" s="59">
        <v>46049</v>
      </c>
      <c r="B73" s="13" t="s">
        <v>43</v>
      </c>
      <c r="C73" s="61" t="s">
        <v>27</v>
      </c>
      <c r="D73" s="60" t="s">
        <v>48</v>
      </c>
      <c r="E73" s="2">
        <v>0</v>
      </c>
      <c r="F73" s="49">
        <v>0</v>
      </c>
      <c r="G73" s="2">
        <v>0</v>
      </c>
      <c r="H73" s="50" t="s">
        <v>165</v>
      </c>
      <c r="I73" s="38"/>
      <c r="J73" s="2"/>
      <c r="K73" s="40"/>
      <c r="L73" s="41"/>
      <c r="M73" s="41"/>
      <c r="N73" s="42"/>
    </row>
    <row r="74" spans="1:14" x14ac:dyDescent="0.3">
      <c r="A74" s="59">
        <v>46049</v>
      </c>
      <c r="B74" s="13" t="s">
        <v>43</v>
      </c>
      <c r="C74" s="61" t="s">
        <v>45</v>
      </c>
      <c r="D74" s="60" t="s">
        <v>48</v>
      </c>
      <c r="E74" s="2">
        <v>0</v>
      </c>
      <c r="F74" s="49">
        <v>0</v>
      </c>
      <c r="G74" s="2">
        <v>0</v>
      </c>
      <c r="H74" s="50" t="s">
        <v>165</v>
      </c>
      <c r="I74" s="38"/>
      <c r="J74" s="2"/>
      <c r="K74" s="40"/>
      <c r="L74" s="41"/>
      <c r="M74" s="41"/>
      <c r="N74" s="42"/>
    </row>
    <row r="75" spans="1:14" x14ac:dyDescent="0.3">
      <c r="A75" s="59">
        <v>46050</v>
      </c>
      <c r="B75" s="60" t="s">
        <v>39</v>
      </c>
      <c r="C75" s="61" t="s">
        <v>27</v>
      </c>
      <c r="D75" s="60" t="s">
        <v>48</v>
      </c>
      <c r="E75" s="60">
        <v>0</v>
      </c>
      <c r="F75" s="60">
        <v>0</v>
      </c>
      <c r="G75" s="83">
        <v>0</v>
      </c>
      <c r="H75" s="50" t="s">
        <v>165</v>
      </c>
      <c r="I75" s="62"/>
      <c r="J75" s="60"/>
      <c r="K75" s="238"/>
      <c r="L75" s="239"/>
      <c r="M75" s="239"/>
      <c r="N75" s="240"/>
    </row>
    <row r="76" spans="1:14" ht="15.6" x14ac:dyDescent="0.3">
      <c r="A76" s="59">
        <v>46050</v>
      </c>
      <c r="B76" s="60" t="s">
        <v>39</v>
      </c>
      <c r="C76" s="61" t="s">
        <v>45</v>
      </c>
      <c r="D76" s="60" t="s">
        <v>48</v>
      </c>
      <c r="E76" s="60">
        <v>0</v>
      </c>
      <c r="F76" s="60">
        <v>0</v>
      </c>
      <c r="G76" s="83">
        <v>0</v>
      </c>
      <c r="H76" s="50" t="s">
        <v>165</v>
      </c>
      <c r="I76" s="71"/>
      <c r="J76" s="60"/>
      <c r="K76" s="72"/>
      <c r="L76" s="73"/>
      <c r="M76" s="73"/>
      <c r="N76" s="74"/>
    </row>
    <row r="77" spans="1:14" ht="15.6" x14ac:dyDescent="0.3">
      <c r="A77" s="59">
        <v>46051</v>
      </c>
      <c r="B77" s="60" t="s">
        <v>39</v>
      </c>
      <c r="C77" s="61" t="s">
        <v>27</v>
      </c>
      <c r="D77" s="60" t="s">
        <v>48</v>
      </c>
      <c r="E77" s="60">
        <v>0</v>
      </c>
      <c r="F77" s="60">
        <v>0</v>
      </c>
      <c r="G77" s="83">
        <v>0</v>
      </c>
      <c r="H77" s="50" t="s">
        <v>165</v>
      </c>
      <c r="I77" s="71"/>
      <c r="J77" s="60"/>
      <c r="K77" s="72"/>
      <c r="L77" s="73"/>
      <c r="M77" s="73"/>
      <c r="N77" s="74"/>
    </row>
    <row r="78" spans="1:14" ht="15.6" x14ac:dyDescent="0.3">
      <c r="A78" s="59">
        <v>46051</v>
      </c>
      <c r="B78" s="60" t="s">
        <v>39</v>
      </c>
      <c r="C78" s="61" t="s">
        <v>27</v>
      </c>
      <c r="D78" s="60" t="s">
        <v>48</v>
      </c>
      <c r="E78" s="60">
        <v>0</v>
      </c>
      <c r="F78" s="60">
        <v>0</v>
      </c>
      <c r="G78" s="83">
        <v>0</v>
      </c>
      <c r="H78" s="50" t="s">
        <v>165</v>
      </c>
      <c r="I78" s="71"/>
      <c r="J78" s="60"/>
      <c r="K78" s="235"/>
      <c r="L78" s="236"/>
      <c r="M78" s="236"/>
      <c r="N78" s="237"/>
    </row>
    <row r="79" spans="1:14" ht="15.6" x14ac:dyDescent="0.3">
      <c r="A79" s="59">
        <v>46052</v>
      </c>
      <c r="B79" s="60" t="s">
        <v>39</v>
      </c>
      <c r="C79" s="61" t="s">
        <v>45</v>
      </c>
      <c r="D79" s="60" t="s">
        <v>48</v>
      </c>
      <c r="E79" s="60">
        <v>0</v>
      </c>
      <c r="F79" s="60">
        <v>0</v>
      </c>
      <c r="G79" s="83">
        <v>0</v>
      </c>
      <c r="H79" s="50" t="s">
        <v>165</v>
      </c>
      <c r="I79" s="71"/>
      <c r="J79" s="60"/>
      <c r="K79" s="72"/>
      <c r="L79" s="73"/>
      <c r="M79" s="73"/>
      <c r="N79" s="74"/>
    </row>
    <row r="80" spans="1:14" ht="15.6" x14ac:dyDescent="0.3">
      <c r="A80" s="59">
        <v>46052</v>
      </c>
      <c r="B80" s="60" t="s">
        <v>39</v>
      </c>
      <c r="C80" s="61" t="s">
        <v>45</v>
      </c>
      <c r="D80" s="60" t="s">
        <v>48</v>
      </c>
      <c r="E80" s="60">
        <v>0</v>
      </c>
      <c r="F80" s="60">
        <v>0</v>
      </c>
      <c r="G80" s="83">
        <v>0</v>
      </c>
      <c r="H80" s="50" t="s">
        <v>165</v>
      </c>
      <c r="I80" s="71"/>
      <c r="J80" s="60"/>
      <c r="K80" s="72"/>
      <c r="L80" s="73"/>
      <c r="M80" s="73"/>
      <c r="N80" s="74"/>
    </row>
    <row r="81" spans="1:14" ht="15.6" x14ac:dyDescent="0.3">
      <c r="A81" s="59">
        <v>46053</v>
      </c>
      <c r="B81" s="60" t="s">
        <v>39</v>
      </c>
      <c r="C81" s="61" t="s">
        <v>27</v>
      </c>
      <c r="D81" s="60" t="s">
        <v>48</v>
      </c>
      <c r="E81" s="60">
        <v>0</v>
      </c>
      <c r="F81" s="60">
        <v>0</v>
      </c>
      <c r="G81" s="83">
        <v>0</v>
      </c>
      <c r="H81" s="50" t="s">
        <v>165</v>
      </c>
      <c r="I81" s="71"/>
      <c r="J81" s="60"/>
      <c r="K81" s="235"/>
      <c r="L81" s="236"/>
      <c r="M81" s="236"/>
      <c r="N81" s="237"/>
    </row>
    <row r="82" spans="1:14" ht="15.6" x14ac:dyDescent="0.3">
      <c r="A82" s="59">
        <v>46053</v>
      </c>
      <c r="B82" s="60" t="s">
        <v>39</v>
      </c>
      <c r="C82" s="61" t="s">
        <v>45</v>
      </c>
      <c r="D82" s="60" t="s">
        <v>48</v>
      </c>
      <c r="E82" s="60">
        <v>0</v>
      </c>
      <c r="F82" s="60">
        <v>0</v>
      </c>
      <c r="G82" s="83">
        <v>0</v>
      </c>
      <c r="H82" s="50" t="s">
        <v>165</v>
      </c>
      <c r="I82" s="71"/>
      <c r="J82" s="60"/>
      <c r="K82" s="72"/>
      <c r="L82" s="73"/>
      <c r="M82" s="73"/>
      <c r="N82" s="74"/>
    </row>
    <row r="83" spans="1:14" ht="23.4" x14ac:dyDescent="0.45">
      <c r="A83" s="259" t="s">
        <v>63</v>
      </c>
      <c r="B83" s="260"/>
      <c r="C83" s="260"/>
      <c r="D83" s="261"/>
      <c r="E83" s="98">
        <f>SUM(E16:E82)</f>
        <v>2160</v>
      </c>
      <c r="F83" s="98">
        <f>SUM(F16:F82)</f>
        <v>9045</v>
      </c>
      <c r="G83" s="102">
        <f>SUM(G16:G82)</f>
        <v>1075</v>
      </c>
      <c r="H83" s="99"/>
      <c r="I83" s="97"/>
      <c r="J83" s="98"/>
      <c r="K83" s="259"/>
      <c r="L83" s="260"/>
      <c r="M83" s="260"/>
      <c r="N83" s="261"/>
    </row>
    <row r="84" spans="1:14" ht="15" thickBot="1" x14ac:dyDescent="0.35">
      <c r="F84" s="26"/>
    </row>
    <row r="85" spans="1:14" x14ac:dyDescent="0.3">
      <c r="A85" t="s">
        <v>273</v>
      </c>
      <c r="E85" s="14"/>
    </row>
    <row r="86" spans="1:14" x14ac:dyDescent="0.3">
      <c r="C86" t="s">
        <v>275</v>
      </c>
      <c r="D86" s="295">
        <f>E83+G83</f>
        <v>3235</v>
      </c>
      <c r="E86" s="296"/>
    </row>
    <row r="87" spans="1:14" x14ac:dyDescent="0.3">
      <c r="C87" t="s">
        <v>274</v>
      </c>
      <c r="D87" s="296">
        <f>F83</f>
        <v>9045</v>
      </c>
      <c r="E87" s="296"/>
    </row>
  </sheetData>
  <mergeCells count="31">
    <mergeCell ref="K83:N83"/>
    <mergeCell ref="A10:N12"/>
    <mergeCell ref="A14:N14"/>
    <mergeCell ref="K53:N53"/>
    <mergeCell ref="K15:N15"/>
    <mergeCell ref="K47:N47"/>
    <mergeCell ref="K16:N16"/>
    <mergeCell ref="K21:N21"/>
    <mergeCell ref="K23:N23"/>
    <mergeCell ref="K46:N46"/>
    <mergeCell ref="K44:N44"/>
    <mergeCell ref="K25:N25"/>
    <mergeCell ref="K20:N20"/>
    <mergeCell ref="K26:N26"/>
    <mergeCell ref="K75:N75"/>
    <mergeCell ref="D86:E86"/>
    <mergeCell ref="D87:E87"/>
    <mergeCell ref="K78:N78"/>
    <mergeCell ref="K81:N81"/>
    <mergeCell ref="A4:K4"/>
    <mergeCell ref="L4:N4"/>
    <mergeCell ref="A5:K5"/>
    <mergeCell ref="A6:A7"/>
    <mergeCell ref="B6:C6"/>
    <mergeCell ref="B7:C7"/>
    <mergeCell ref="K7:K9"/>
    <mergeCell ref="A8:A9"/>
    <mergeCell ref="B8:C8"/>
    <mergeCell ref="B9:C9"/>
    <mergeCell ref="K61:N61"/>
    <mergeCell ref="A83:D83"/>
  </mergeCells>
  <phoneticPr fontId="11" type="noConversion"/>
  <dataValidations count="1">
    <dataValidation type="list" allowBlank="1" showInputMessage="1" showErrorMessage="1" sqref="I19:I32 I53 I62 I37:I38 I49 I51 I46 I42 I44 I35 I16:I17 I64:I82 B16:D82" xr:uid="{00000000-0002-0000-0500-000000000000}">
      <formula1>#REF!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4"/>
  <sheetViews>
    <sheetView topLeftCell="A73" workbookViewId="0">
      <selection activeCell="G80" sqref="G80"/>
    </sheetView>
  </sheetViews>
  <sheetFormatPr defaultRowHeight="14.4" x14ac:dyDescent="0.3"/>
  <cols>
    <col min="1" max="1" width="12.5546875" customWidth="1"/>
    <col min="2" max="2" width="10" customWidth="1"/>
    <col min="3" max="3" width="13.109375" customWidth="1"/>
    <col min="4" max="5" width="15" customWidth="1"/>
    <col min="6" max="6" width="13.33203125" bestFit="1" customWidth="1"/>
    <col min="7" max="7" width="14.88671875" style="14" customWidth="1"/>
    <col min="8" max="8" width="61.44140625" style="31" customWidth="1"/>
    <col min="9" max="9" width="17.88671875" customWidth="1"/>
    <col min="10" max="10" width="19.109375" style="14" customWidth="1"/>
    <col min="11" max="11" width="27.109375" customWidth="1"/>
    <col min="12" max="12" width="15.88671875" bestFit="1" customWidth="1"/>
    <col min="13" max="13" width="14.44140625" bestFit="1" customWidth="1"/>
    <col min="14" max="14" width="14.6640625" customWidth="1"/>
  </cols>
  <sheetData>
    <row r="1" spans="1:14" x14ac:dyDescent="0.3">
      <c r="A1" s="16"/>
      <c r="B1" s="17"/>
      <c r="C1" s="17"/>
      <c r="D1" s="17"/>
      <c r="E1" s="17"/>
      <c r="F1" s="17"/>
      <c r="G1" s="18"/>
      <c r="H1" s="30"/>
      <c r="I1" s="17"/>
      <c r="J1" s="18"/>
      <c r="K1" s="17"/>
      <c r="L1" s="17"/>
      <c r="M1" s="17"/>
      <c r="N1" s="19"/>
    </row>
    <row r="2" spans="1:14" x14ac:dyDescent="0.3">
      <c r="A2" s="20"/>
      <c r="N2" s="21"/>
    </row>
    <row r="3" spans="1:14" ht="15" thickBot="1" x14ac:dyDescent="0.35">
      <c r="A3" s="20"/>
      <c r="N3" s="21"/>
    </row>
    <row r="4" spans="1:14" ht="21.6" customHeight="1" thickBot="1" x14ac:dyDescent="0.45">
      <c r="A4" s="244" t="s">
        <v>171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6"/>
      <c r="M4" s="247"/>
      <c r="N4" s="248"/>
    </row>
    <row r="5" spans="1:14" ht="18.600000000000001" thickBot="1" x14ac:dyDescent="0.4">
      <c r="A5" s="249" t="s">
        <v>172</v>
      </c>
      <c r="B5" s="250"/>
      <c r="C5" s="250"/>
      <c r="D5" s="250"/>
      <c r="E5" s="250"/>
      <c r="F5" s="250"/>
      <c r="G5" s="250"/>
      <c r="H5" s="250"/>
      <c r="I5" s="250"/>
      <c r="J5" s="250"/>
      <c r="K5" s="251"/>
      <c r="L5" s="22"/>
      <c r="M5" s="22"/>
      <c r="N5" s="23"/>
    </row>
    <row r="6" spans="1:14" ht="50.25" hidden="1" customHeight="1" x14ac:dyDescent="0.3">
      <c r="A6" s="252" t="s">
        <v>0</v>
      </c>
      <c r="B6" s="253" t="s">
        <v>1</v>
      </c>
      <c r="C6" s="253"/>
      <c r="D6" s="5" t="s">
        <v>2</v>
      </c>
      <c r="E6" s="5"/>
      <c r="F6" s="5"/>
      <c r="G6" s="10" t="s">
        <v>3</v>
      </c>
      <c r="H6" s="43" t="s">
        <v>4</v>
      </c>
      <c r="I6" s="6" t="s">
        <v>5</v>
      </c>
      <c r="J6" s="15" t="s">
        <v>6</v>
      </c>
      <c r="K6" s="7" t="s">
        <v>7</v>
      </c>
      <c r="L6" s="22"/>
      <c r="M6" s="22"/>
      <c r="N6" s="23"/>
    </row>
    <row r="7" spans="1:14" ht="18.600000000000001" hidden="1" thickBot="1" x14ac:dyDescent="0.4">
      <c r="A7" s="252"/>
      <c r="B7" s="254" t="s">
        <v>8</v>
      </c>
      <c r="C7" s="255"/>
      <c r="D7" s="8" t="s">
        <v>9</v>
      </c>
      <c r="E7" s="8"/>
      <c r="F7" s="8"/>
      <c r="G7" s="8" t="s">
        <v>10</v>
      </c>
      <c r="H7" s="44" t="s">
        <v>9</v>
      </c>
      <c r="I7" s="8" t="s">
        <v>10</v>
      </c>
      <c r="J7" s="9" t="s">
        <v>11</v>
      </c>
      <c r="K7" s="256" t="s">
        <v>12</v>
      </c>
      <c r="L7" s="22"/>
      <c r="M7" s="22"/>
      <c r="N7" s="23"/>
    </row>
    <row r="8" spans="1:14" ht="29.4" hidden="1" thickBot="1" x14ac:dyDescent="0.35">
      <c r="A8" s="252" t="s">
        <v>13</v>
      </c>
      <c r="B8" s="252" t="s">
        <v>14</v>
      </c>
      <c r="C8" s="252"/>
      <c r="D8" s="10" t="s">
        <v>15</v>
      </c>
      <c r="E8" s="10"/>
      <c r="F8" s="10"/>
      <c r="G8" s="11" t="s">
        <v>3</v>
      </c>
      <c r="H8" s="43" t="s">
        <v>4</v>
      </c>
      <c r="I8" s="11" t="s">
        <v>5</v>
      </c>
      <c r="J8" s="12" t="s">
        <v>6</v>
      </c>
      <c r="K8" s="257"/>
      <c r="L8" s="22"/>
      <c r="M8" s="22"/>
      <c r="N8" s="23"/>
    </row>
    <row r="9" spans="1:14" ht="18.600000000000001" hidden="1" thickBot="1" x14ac:dyDescent="0.4">
      <c r="A9" s="252"/>
      <c r="B9" s="254" t="s">
        <v>9</v>
      </c>
      <c r="C9" s="255"/>
      <c r="D9" s="8" t="s">
        <v>8</v>
      </c>
      <c r="E9" s="8"/>
      <c r="F9" s="8"/>
      <c r="G9" s="8" t="s">
        <v>10</v>
      </c>
      <c r="H9" s="44" t="s">
        <v>16</v>
      </c>
      <c r="I9" s="8" t="s">
        <v>17</v>
      </c>
      <c r="J9" s="9" t="s">
        <v>18</v>
      </c>
      <c r="K9" s="258"/>
      <c r="L9" s="22"/>
      <c r="M9" s="22"/>
      <c r="N9" s="23"/>
    </row>
    <row r="10" spans="1:14" x14ac:dyDescent="0.3">
      <c r="A10" s="262"/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4"/>
    </row>
    <row r="11" spans="1:14" x14ac:dyDescent="0.3">
      <c r="A11" s="265"/>
      <c r="B11" s="266"/>
      <c r="C11" s="266"/>
      <c r="D11" s="266"/>
      <c r="E11" s="266"/>
      <c r="F11" s="266"/>
      <c r="G11" s="266"/>
      <c r="H11" s="266"/>
      <c r="I11" s="266"/>
      <c r="J11" s="266"/>
      <c r="K11" s="266"/>
      <c r="L11" s="266"/>
      <c r="M11" s="266"/>
      <c r="N11" s="267"/>
    </row>
    <row r="12" spans="1:14" ht="34.5" customHeight="1" thickBot="1" x14ac:dyDescent="0.35">
      <c r="A12" s="265"/>
      <c r="B12" s="266"/>
      <c r="C12" s="268"/>
      <c r="D12" s="268"/>
      <c r="E12" s="268"/>
      <c r="F12" s="268"/>
      <c r="G12" s="268"/>
      <c r="H12" s="268"/>
      <c r="I12" s="268"/>
      <c r="J12" s="268"/>
      <c r="K12" s="268"/>
      <c r="L12" s="268"/>
      <c r="M12" s="268"/>
      <c r="N12" s="269"/>
    </row>
    <row r="13" spans="1:14" ht="48.75" customHeight="1" thickBot="1" x14ac:dyDescent="0.35">
      <c r="A13" s="117" t="s">
        <v>28</v>
      </c>
      <c r="B13" s="117">
        <v>31</v>
      </c>
      <c r="C13" s="4" t="s">
        <v>29</v>
      </c>
      <c r="D13" s="1">
        <f>E80/1440</f>
        <v>1</v>
      </c>
      <c r="E13" s="1"/>
      <c r="F13" s="1"/>
      <c r="G13" s="4" t="s">
        <v>30</v>
      </c>
      <c r="H13" s="4">
        <f>+B13-D13</f>
        <v>30</v>
      </c>
      <c r="I13" s="4" t="s">
        <v>31</v>
      </c>
      <c r="J13" s="4">
        <v>2</v>
      </c>
      <c r="K13" s="4" t="s">
        <v>52</v>
      </c>
      <c r="L13" s="1">
        <v>720</v>
      </c>
      <c r="M13" s="4" t="s">
        <v>33</v>
      </c>
      <c r="N13" s="29">
        <f>+((H13*J13*L13)-G80)/(H13*J13*L13)</f>
        <v>0.61458333333333337</v>
      </c>
    </row>
    <row r="14" spans="1:14" ht="21.6" thickBot="1" x14ac:dyDescent="0.45">
      <c r="A14" s="270" t="s">
        <v>184</v>
      </c>
      <c r="B14" s="271"/>
      <c r="C14" s="272"/>
      <c r="D14" s="272"/>
      <c r="E14" s="272"/>
      <c r="F14" s="272"/>
      <c r="G14" s="272"/>
      <c r="H14" s="272"/>
      <c r="I14" s="272"/>
      <c r="J14" s="272"/>
      <c r="K14" s="272"/>
      <c r="L14" s="272"/>
      <c r="M14" s="272"/>
      <c r="N14" s="273"/>
    </row>
    <row r="15" spans="1:14" ht="63" customHeight="1" x14ac:dyDescent="0.3">
      <c r="A15" s="25" t="s">
        <v>19</v>
      </c>
      <c r="B15" s="4" t="s">
        <v>20</v>
      </c>
      <c r="C15" s="4" t="s">
        <v>21</v>
      </c>
      <c r="D15" s="1" t="s">
        <v>22</v>
      </c>
      <c r="E15" s="27" t="s">
        <v>49</v>
      </c>
      <c r="F15" s="27" t="s">
        <v>57</v>
      </c>
      <c r="G15" s="27" t="s">
        <v>56</v>
      </c>
      <c r="H15" s="45" t="s">
        <v>23</v>
      </c>
      <c r="I15" s="27" t="s">
        <v>24</v>
      </c>
      <c r="J15" s="27" t="s">
        <v>32</v>
      </c>
      <c r="K15" s="312" t="s">
        <v>25</v>
      </c>
      <c r="L15" s="313"/>
      <c r="M15" s="313"/>
      <c r="N15" s="314"/>
    </row>
    <row r="16" spans="1:14" x14ac:dyDescent="0.3">
      <c r="A16" s="59">
        <v>46023</v>
      </c>
      <c r="B16" s="60" t="s">
        <v>44</v>
      </c>
      <c r="C16" s="61" t="s">
        <v>27</v>
      </c>
      <c r="D16" s="60" t="s">
        <v>46</v>
      </c>
      <c r="E16" s="61">
        <v>720</v>
      </c>
      <c r="F16" s="61">
        <v>0</v>
      </c>
      <c r="G16" s="83">
        <v>0</v>
      </c>
      <c r="H16" s="50" t="s">
        <v>60</v>
      </c>
      <c r="I16" s="46" t="s">
        <v>69</v>
      </c>
      <c r="J16" s="2" t="s">
        <v>61</v>
      </c>
      <c r="K16" s="286" t="s">
        <v>70</v>
      </c>
      <c r="L16" s="287"/>
      <c r="M16" s="287"/>
      <c r="N16" s="288"/>
    </row>
    <row r="17" spans="1:14" x14ac:dyDescent="0.3">
      <c r="A17" s="59">
        <v>46023</v>
      </c>
      <c r="B17" s="60" t="s">
        <v>44</v>
      </c>
      <c r="C17" s="61" t="s">
        <v>45</v>
      </c>
      <c r="D17" s="60" t="s">
        <v>46</v>
      </c>
      <c r="E17" s="61">
        <v>0</v>
      </c>
      <c r="F17" s="61">
        <v>90</v>
      </c>
      <c r="G17" s="83">
        <v>0</v>
      </c>
      <c r="H17" s="50" t="s">
        <v>71</v>
      </c>
      <c r="I17" s="46"/>
      <c r="J17" s="2"/>
      <c r="K17" s="39"/>
      <c r="L17" s="95"/>
      <c r="M17" s="95"/>
      <c r="N17" s="96"/>
    </row>
    <row r="18" spans="1:14" x14ac:dyDescent="0.3">
      <c r="A18" s="59">
        <v>46023</v>
      </c>
      <c r="B18" s="60" t="s">
        <v>44</v>
      </c>
      <c r="C18" s="61" t="s">
        <v>45</v>
      </c>
      <c r="D18" s="60" t="s">
        <v>46</v>
      </c>
      <c r="E18" s="61">
        <v>0</v>
      </c>
      <c r="F18" s="61">
        <v>0</v>
      </c>
      <c r="G18" s="83">
        <v>30</v>
      </c>
      <c r="H18" s="50" t="s">
        <v>68</v>
      </c>
      <c r="I18" s="38" t="s">
        <v>38</v>
      </c>
      <c r="J18" s="2" t="s">
        <v>62</v>
      </c>
      <c r="K18" s="39"/>
      <c r="L18" s="41"/>
      <c r="M18" s="41"/>
      <c r="N18" s="42"/>
    </row>
    <row r="19" spans="1:14" x14ac:dyDescent="0.3">
      <c r="A19" s="59">
        <v>46024</v>
      </c>
      <c r="B19" s="13" t="s">
        <v>44</v>
      </c>
      <c r="C19" s="37" t="s">
        <v>27</v>
      </c>
      <c r="D19" s="13" t="s">
        <v>46</v>
      </c>
      <c r="E19" s="60">
        <v>0</v>
      </c>
      <c r="F19" s="60">
        <v>90</v>
      </c>
      <c r="G19" s="13">
        <v>0</v>
      </c>
      <c r="H19" s="46" t="s">
        <v>72</v>
      </c>
      <c r="I19" s="37"/>
      <c r="J19" s="13"/>
      <c r="K19" s="40"/>
      <c r="L19" s="41"/>
      <c r="M19" s="41"/>
      <c r="N19" s="42"/>
    </row>
    <row r="20" spans="1:14" x14ac:dyDescent="0.3">
      <c r="A20" s="59">
        <v>46024</v>
      </c>
      <c r="B20" s="13" t="s">
        <v>44</v>
      </c>
      <c r="C20" s="37" t="s">
        <v>27</v>
      </c>
      <c r="D20" s="13" t="s">
        <v>46</v>
      </c>
      <c r="E20" s="60">
        <v>0</v>
      </c>
      <c r="F20" s="60">
        <v>0</v>
      </c>
      <c r="G20" s="13">
        <v>60</v>
      </c>
      <c r="H20" s="46" t="s">
        <v>92</v>
      </c>
      <c r="I20" s="47" t="s">
        <v>37</v>
      </c>
      <c r="J20" s="13" t="s">
        <v>93</v>
      </c>
      <c r="K20" s="39" t="s">
        <v>94</v>
      </c>
      <c r="L20" s="41"/>
      <c r="M20" s="41"/>
      <c r="N20" s="42"/>
    </row>
    <row r="21" spans="1:14" x14ac:dyDescent="0.3">
      <c r="A21" s="59">
        <v>46024</v>
      </c>
      <c r="B21" s="13" t="s">
        <v>44</v>
      </c>
      <c r="C21" s="37" t="s">
        <v>45</v>
      </c>
      <c r="D21" s="13" t="s">
        <v>46</v>
      </c>
      <c r="E21" s="60">
        <v>0</v>
      </c>
      <c r="F21" s="60">
        <v>0</v>
      </c>
      <c r="G21" s="13">
        <v>720</v>
      </c>
      <c r="H21" s="46" t="s">
        <v>95</v>
      </c>
      <c r="I21" s="47" t="s">
        <v>38</v>
      </c>
      <c r="J21" s="13" t="s">
        <v>73</v>
      </c>
      <c r="K21" s="40"/>
      <c r="L21" s="41"/>
      <c r="M21" s="41"/>
      <c r="N21" s="42"/>
    </row>
    <row r="22" spans="1:14" x14ac:dyDescent="0.3">
      <c r="A22" s="59">
        <v>46025</v>
      </c>
      <c r="B22" s="13" t="s">
        <v>44</v>
      </c>
      <c r="C22" s="37" t="s">
        <v>27</v>
      </c>
      <c r="D22" s="13" t="s">
        <v>46</v>
      </c>
      <c r="E22" s="60">
        <v>0</v>
      </c>
      <c r="F22" s="60">
        <v>0</v>
      </c>
      <c r="G22" s="13">
        <v>720</v>
      </c>
      <c r="H22" s="46" t="s">
        <v>95</v>
      </c>
      <c r="I22" s="47" t="s">
        <v>53</v>
      </c>
      <c r="J22" s="13" t="s">
        <v>96</v>
      </c>
      <c r="K22" s="39" t="s">
        <v>97</v>
      </c>
      <c r="L22" s="41"/>
      <c r="M22" s="41"/>
      <c r="N22" s="42"/>
    </row>
    <row r="23" spans="1:14" x14ac:dyDescent="0.3">
      <c r="A23" s="59">
        <v>46025</v>
      </c>
      <c r="B23" s="13" t="s">
        <v>44</v>
      </c>
      <c r="C23" s="37" t="s">
        <v>45</v>
      </c>
      <c r="D23" s="13" t="s">
        <v>46</v>
      </c>
      <c r="E23" s="60">
        <v>0</v>
      </c>
      <c r="F23" s="60">
        <v>0</v>
      </c>
      <c r="G23" s="13">
        <v>720</v>
      </c>
      <c r="H23" s="46" t="s">
        <v>95</v>
      </c>
      <c r="I23" s="47" t="s">
        <v>53</v>
      </c>
      <c r="J23" s="13" t="s">
        <v>96</v>
      </c>
      <c r="K23" s="39" t="s">
        <v>97</v>
      </c>
      <c r="L23" s="41"/>
      <c r="M23" s="41"/>
      <c r="N23" s="42"/>
    </row>
    <row r="24" spans="1:14" x14ac:dyDescent="0.3">
      <c r="A24" s="59">
        <v>46026</v>
      </c>
      <c r="B24" s="13" t="s">
        <v>44</v>
      </c>
      <c r="C24" s="37" t="s">
        <v>27</v>
      </c>
      <c r="D24" s="13" t="s">
        <v>48</v>
      </c>
      <c r="E24" s="60">
        <v>0</v>
      </c>
      <c r="F24" s="60">
        <v>0</v>
      </c>
      <c r="G24" s="13">
        <v>720</v>
      </c>
      <c r="H24" s="46" t="s">
        <v>170</v>
      </c>
      <c r="I24" s="13"/>
      <c r="J24" s="13"/>
      <c r="K24" s="40"/>
      <c r="L24" s="41"/>
      <c r="M24" s="41"/>
      <c r="N24" s="42"/>
    </row>
    <row r="25" spans="1:14" x14ac:dyDescent="0.3">
      <c r="A25" s="59">
        <v>46026</v>
      </c>
      <c r="B25" s="13" t="s">
        <v>44</v>
      </c>
      <c r="C25" s="37" t="s">
        <v>45</v>
      </c>
      <c r="D25" s="13" t="s">
        <v>48</v>
      </c>
      <c r="E25" s="60">
        <v>0</v>
      </c>
      <c r="F25" s="60">
        <v>0</v>
      </c>
      <c r="G25" s="13">
        <v>720</v>
      </c>
      <c r="H25" s="46" t="s">
        <v>170</v>
      </c>
      <c r="I25" s="37"/>
      <c r="J25" s="13"/>
      <c r="K25" s="40"/>
      <c r="L25" s="41"/>
      <c r="M25" s="41"/>
      <c r="N25" s="42"/>
    </row>
    <row r="26" spans="1:14" x14ac:dyDescent="0.3">
      <c r="A26" s="59">
        <v>46027</v>
      </c>
      <c r="B26" s="13" t="s">
        <v>44</v>
      </c>
      <c r="C26" s="37" t="s">
        <v>27</v>
      </c>
      <c r="D26" s="13" t="s">
        <v>48</v>
      </c>
      <c r="E26" s="60">
        <v>0</v>
      </c>
      <c r="F26" s="60">
        <v>0</v>
      </c>
      <c r="G26" s="13">
        <v>720</v>
      </c>
      <c r="H26" s="46" t="s">
        <v>170</v>
      </c>
      <c r="I26" s="46"/>
      <c r="J26" s="13"/>
      <c r="K26" s="40"/>
      <c r="L26" s="41"/>
      <c r="M26" s="41"/>
      <c r="N26" s="42"/>
    </row>
    <row r="27" spans="1:14" x14ac:dyDescent="0.3">
      <c r="A27" s="59">
        <v>46027</v>
      </c>
      <c r="B27" s="13" t="s">
        <v>44</v>
      </c>
      <c r="C27" s="37" t="s">
        <v>45</v>
      </c>
      <c r="D27" s="13" t="s">
        <v>48</v>
      </c>
      <c r="E27" s="60">
        <v>0</v>
      </c>
      <c r="F27" s="60">
        <v>0</v>
      </c>
      <c r="G27" s="13">
        <v>720</v>
      </c>
      <c r="H27" s="46" t="s">
        <v>170</v>
      </c>
      <c r="I27" s="37"/>
      <c r="J27" s="13"/>
      <c r="K27" s="39"/>
      <c r="L27" s="41"/>
      <c r="M27" s="41"/>
      <c r="N27" s="42"/>
    </row>
    <row r="28" spans="1:14" x14ac:dyDescent="0.3">
      <c r="A28" s="59">
        <v>46028</v>
      </c>
      <c r="B28" s="13" t="s">
        <v>44</v>
      </c>
      <c r="C28" s="37" t="s">
        <v>27</v>
      </c>
      <c r="D28" s="13" t="s">
        <v>48</v>
      </c>
      <c r="E28" s="60">
        <v>0</v>
      </c>
      <c r="F28" s="60">
        <v>0</v>
      </c>
      <c r="G28" s="13">
        <v>720</v>
      </c>
      <c r="H28" s="46" t="s">
        <v>170</v>
      </c>
      <c r="I28" s="46"/>
      <c r="J28" s="13"/>
      <c r="K28" s="40"/>
      <c r="L28" s="41"/>
      <c r="M28" s="41"/>
      <c r="N28" s="42"/>
    </row>
    <row r="29" spans="1:14" x14ac:dyDescent="0.3">
      <c r="A29" s="59">
        <v>46028</v>
      </c>
      <c r="B29" s="13" t="s">
        <v>44</v>
      </c>
      <c r="C29" s="37" t="s">
        <v>45</v>
      </c>
      <c r="D29" s="13" t="s">
        <v>48</v>
      </c>
      <c r="E29" s="60">
        <v>0</v>
      </c>
      <c r="F29" s="60">
        <v>0</v>
      </c>
      <c r="G29" s="13">
        <v>720</v>
      </c>
      <c r="H29" s="46" t="s">
        <v>170</v>
      </c>
      <c r="I29" s="38"/>
      <c r="J29" s="13"/>
      <c r="K29" s="39"/>
      <c r="L29" s="41"/>
      <c r="M29" s="41"/>
      <c r="N29" s="42"/>
    </row>
    <row r="30" spans="1:14" x14ac:dyDescent="0.3">
      <c r="A30" s="59">
        <v>46029</v>
      </c>
      <c r="B30" s="13" t="s">
        <v>44</v>
      </c>
      <c r="C30" s="37" t="s">
        <v>27</v>
      </c>
      <c r="D30" s="13" t="s">
        <v>48</v>
      </c>
      <c r="E30" s="13">
        <v>720</v>
      </c>
      <c r="F30" s="60">
        <v>0</v>
      </c>
      <c r="G30" s="13">
        <v>720</v>
      </c>
      <c r="H30" s="46" t="s">
        <v>170</v>
      </c>
      <c r="I30" s="47" t="s">
        <v>51</v>
      </c>
      <c r="J30" s="13" t="s">
        <v>111</v>
      </c>
      <c r="K30" s="39" t="s">
        <v>112</v>
      </c>
      <c r="L30" s="41"/>
      <c r="M30" s="41"/>
      <c r="N30" s="42"/>
    </row>
    <row r="31" spans="1:14" x14ac:dyDescent="0.3">
      <c r="A31" s="59">
        <v>46029</v>
      </c>
      <c r="B31" s="13" t="s">
        <v>44</v>
      </c>
      <c r="C31" s="37" t="s">
        <v>45</v>
      </c>
      <c r="D31" s="13" t="s">
        <v>48</v>
      </c>
      <c r="E31" s="13">
        <v>0</v>
      </c>
      <c r="F31" s="60">
        <v>0</v>
      </c>
      <c r="G31" s="13">
        <v>720</v>
      </c>
      <c r="H31" s="46" t="s">
        <v>170</v>
      </c>
      <c r="I31" s="38"/>
      <c r="J31" s="13"/>
      <c r="K31" s="40"/>
      <c r="L31" s="41"/>
      <c r="M31" s="41"/>
      <c r="N31" s="42"/>
    </row>
    <row r="32" spans="1:14" x14ac:dyDescent="0.3">
      <c r="A32" s="59">
        <v>46030</v>
      </c>
      <c r="B32" s="13" t="s">
        <v>44</v>
      </c>
      <c r="C32" s="37" t="s">
        <v>27</v>
      </c>
      <c r="D32" s="13" t="s">
        <v>48</v>
      </c>
      <c r="E32" s="13">
        <v>0</v>
      </c>
      <c r="F32" s="60">
        <v>0</v>
      </c>
      <c r="G32" s="13">
        <v>720</v>
      </c>
      <c r="H32" s="46" t="s">
        <v>170</v>
      </c>
      <c r="I32" s="13"/>
      <c r="J32" s="13"/>
      <c r="K32" s="40"/>
      <c r="L32" s="41"/>
      <c r="M32" s="41"/>
      <c r="N32" s="42"/>
    </row>
    <row r="33" spans="1:14" x14ac:dyDescent="0.3">
      <c r="A33" s="59">
        <v>46030</v>
      </c>
      <c r="B33" s="13" t="s">
        <v>44</v>
      </c>
      <c r="C33" s="37" t="s">
        <v>45</v>
      </c>
      <c r="D33" s="13" t="s">
        <v>48</v>
      </c>
      <c r="E33" s="13">
        <v>0</v>
      </c>
      <c r="F33" s="60">
        <v>0</v>
      </c>
      <c r="G33" s="13">
        <v>720</v>
      </c>
      <c r="H33" s="46" t="s">
        <v>170</v>
      </c>
      <c r="I33" s="13"/>
      <c r="J33" s="13"/>
      <c r="K33" s="40"/>
      <c r="L33" s="41"/>
      <c r="M33" s="41"/>
      <c r="N33" s="42"/>
    </row>
    <row r="34" spans="1:14" x14ac:dyDescent="0.3">
      <c r="A34" s="59">
        <v>46031</v>
      </c>
      <c r="B34" s="13" t="s">
        <v>44</v>
      </c>
      <c r="C34" s="37" t="s">
        <v>27</v>
      </c>
      <c r="D34" s="13" t="s">
        <v>48</v>
      </c>
      <c r="E34" s="13">
        <v>0</v>
      </c>
      <c r="F34" s="60">
        <v>0</v>
      </c>
      <c r="G34" s="13">
        <v>720</v>
      </c>
      <c r="H34" s="46" t="s">
        <v>170</v>
      </c>
      <c r="I34" s="13"/>
      <c r="J34" s="13"/>
      <c r="K34" s="40"/>
      <c r="L34" s="41"/>
      <c r="M34" s="41"/>
      <c r="N34" s="42"/>
    </row>
    <row r="35" spans="1:14" x14ac:dyDescent="0.3">
      <c r="A35" s="59">
        <v>46031</v>
      </c>
      <c r="B35" s="13" t="s">
        <v>44</v>
      </c>
      <c r="C35" s="37" t="s">
        <v>45</v>
      </c>
      <c r="D35" s="13" t="s">
        <v>48</v>
      </c>
      <c r="E35" s="13">
        <v>0</v>
      </c>
      <c r="F35" s="60">
        <v>0</v>
      </c>
      <c r="G35" s="13">
        <v>720</v>
      </c>
      <c r="H35" s="46" t="s">
        <v>170</v>
      </c>
      <c r="I35" s="13"/>
      <c r="J35" s="13"/>
      <c r="K35" s="40"/>
      <c r="L35" s="41"/>
      <c r="M35" s="41"/>
      <c r="N35" s="42"/>
    </row>
    <row r="36" spans="1:14" x14ac:dyDescent="0.3">
      <c r="A36" s="59">
        <v>46032</v>
      </c>
      <c r="B36" s="13" t="s">
        <v>44</v>
      </c>
      <c r="C36" s="37" t="s">
        <v>27</v>
      </c>
      <c r="D36" s="13" t="s">
        <v>48</v>
      </c>
      <c r="E36" s="13">
        <v>0</v>
      </c>
      <c r="F36" s="60">
        <v>0</v>
      </c>
      <c r="G36" s="13">
        <v>720</v>
      </c>
      <c r="H36" s="46" t="s">
        <v>170</v>
      </c>
      <c r="I36" s="13"/>
      <c r="J36" s="13"/>
      <c r="K36" s="40"/>
      <c r="L36" s="41"/>
      <c r="M36" s="41"/>
      <c r="N36" s="42"/>
    </row>
    <row r="37" spans="1:14" x14ac:dyDescent="0.3">
      <c r="A37" s="59">
        <v>46032</v>
      </c>
      <c r="B37" s="13" t="s">
        <v>44</v>
      </c>
      <c r="C37" s="37" t="s">
        <v>45</v>
      </c>
      <c r="D37" s="13" t="s">
        <v>48</v>
      </c>
      <c r="E37" s="13">
        <v>0</v>
      </c>
      <c r="F37" s="60">
        <v>0</v>
      </c>
      <c r="G37" s="13">
        <v>720</v>
      </c>
      <c r="H37" s="46" t="s">
        <v>170</v>
      </c>
      <c r="I37" s="13"/>
      <c r="J37" s="13"/>
      <c r="K37" s="40"/>
      <c r="L37" s="41"/>
      <c r="M37" s="41"/>
      <c r="N37" s="42"/>
    </row>
    <row r="38" spans="1:14" x14ac:dyDescent="0.3">
      <c r="A38" s="59">
        <v>46033</v>
      </c>
      <c r="B38" s="13" t="s">
        <v>44</v>
      </c>
      <c r="C38" s="37" t="s">
        <v>27</v>
      </c>
      <c r="D38" s="13" t="s">
        <v>48</v>
      </c>
      <c r="E38" s="13">
        <v>0</v>
      </c>
      <c r="F38" s="60">
        <v>0</v>
      </c>
      <c r="G38" s="13">
        <v>720</v>
      </c>
      <c r="H38" s="46" t="s">
        <v>170</v>
      </c>
      <c r="I38" s="13"/>
      <c r="J38" s="13"/>
      <c r="K38" s="40"/>
      <c r="L38" s="41"/>
      <c r="M38" s="41"/>
      <c r="N38" s="42"/>
    </row>
    <row r="39" spans="1:14" x14ac:dyDescent="0.3">
      <c r="A39" s="59">
        <v>46033</v>
      </c>
      <c r="B39" s="13" t="s">
        <v>44</v>
      </c>
      <c r="C39" s="37" t="s">
        <v>45</v>
      </c>
      <c r="D39" s="13" t="s">
        <v>48</v>
      </c>
      <c r="E39" s="13">
        <v>0</v>
      </c>
      <c r="F39" s="60">
        <v>0</v>
      </c>
      <c r="G39" s="13">
        <v>720</v>
      </c>
      <c r="H39" s="46" t="s">
        <v>170</v>
      </c>
      <c r="I39" s="13"/>
      <c r="J39" s="13"/>
      <c r="K39" s="40"/>
      <c r="L39" s="41"/>
      <c r="M39" s="41"/>
      <c r="N39" s="42"/>
    </row>
    <row r="40" spans="1:14" x14ac:dyDescent="0.3">
      <c r="A40" s="59">
        <v>46034</v>
      </c>
      <c r="B40" s="13" t="s">
        <v>44</v>
      </c>
      <c r="C40" s="37" t="s">
        <v>27</v>
      </c>
      <c r="D40" s="13" t="s">
        <v>48</v>
      </c>
      <c r="E40" s="13">
        <v>0</v>
      </c>
      <c r="F40" s="60">
        <v>0</v>
      </c>
      <c r="G40" s="13">
        <v>720</v>
      </c>
      <c r="H40" s="46" t="s">
        <v>170</v>
      </c>
      <c r="I40" s="13"/>
      <c r="J40" s="13"/>
      <c r="K40" s="40"/>
      <c r="L40" s="41"/>
      <c r="M40" s="41"/>
      <c r="N40" s="42"/>
    </row>
    <row r="41" spans="1:14" x14ac:dyDescent="0.3">
      <c r="A41" s="59">
        <v>46034</v>
      </c>
      <c r="B41" s="13" t="s">
        <v>44</v>
      </c>
      <c r="C41" s="37" t="s">
        <v>45</v>
      </c>
      <c r="D41" s="13" t="s">
        <v>48</v>
      </c>
      <c r="E41" s="13">
        <v>0</v>
      </c>
      <c r="F41" s="60">
        <v>0</v>
      </c>
      <c r="G41" s="13">
        <v>720</v>
      </c>
      <c r="H41" s="46" t="s">
        <v>170</v>
      </c>
      <c r="I41" s="13"/>
      <c r="J41" s="13"/>
      <c r="K41" s="40"/>
      <c r="L41" s="41"/>
      <c r="M41" s="41"/>
      <c r="N41" s="42"/>
    </row>
    <row r="42" spans="1:14" x14ac:dyDescent="0.3">
      <c r="A42" s="59">
        <v>46035</v>
      </c>
      <c r="B42" s="13" t="s">
        <v>44</v>
      </c>
      <c r="C42" s="37" t="s">
        <v>27</v>
      </c>
      <c r="D42" s="13" t="s">
        <v>48</v>
      </c>
      <c r="E42" s="13">
        <v>0</v>
      </c>
      <c r="F42" s="60">
        <v>0</v>
      </c>
      <c r="G42" s="13">
        <v>720</v>
      </c>
      <c r="H42" s="46" t="s">
        <v>170</v>
      </c>
      <c r="I42" s="13"/>
      <c r="J42" s="13"/>
      <c r="K42" s="40"/>
      <c r="L42" s="41"/>
      <c r="M42" s="41"/>
      <c r="N42" s="42"/>
    </row>
    <row r="43" spans="1:14" x14ac:dyDescent="0.3">
      <c r="A43" s="59">
        <v>46035</v>
      </c>
      <c r="B43" s="13" t="s">
        <v>44</v>
      </c>
      <c r="C43" s="37" t="s">
        <v>45</v>
      </c>
      <c r="D43" s="13" t="s">
        <v>48</v>
      </c>
      <c r="E43" s="13">
        <v>0</v>
      </c>
      <c r="F43" s="60">
        <v>0</v>
      </c>
      <c r="G43" s="13">
        <v>720</v>
      </c>
      <c r="H43" s="46" t="s">
        <v>170</v>
      </c>
      <c r="I43" s="13"/>
      <c r="J43" s="13"/>
      <c r="K43" s="40"/>
      <c r="L43" s="41"/>
      <c r="M43" s="41"/>
      <c r="N43" s="42"/>
    </row>
    <row r="44" spans="1:14" x14ac:dyDescent="0.3">
      <c r="A44" s="59">
        <v>46036</v>
      </c>
      <c r="B44" s="13" t="s">
        <v>44</v>
      </c>
      <c r="C44" s="37" t="s">
        <v>27</v>
      </c>
      <c r="D44" s="13" t="s">
        <v>48</v>
      </c>
      <c r="E44" s="13">
        <v>0</v>
      </c>
      <c r="F44" s="60">
        <v>0</v>
      </c>
      <c r="G44" s="13">
        <v>0</v>
      </c>
      <c r="H44" s="50" t="s">
        <v>165</v>
      </c>
      <c r="I44" s="13"/>
      <c r="J44" s="13"/>
      <c r="K44" s="40"/>
      <c r="L44" s="41"/>
      <c r="M44" s="41"/>
      <c r="N44" s="42"/>
    </row>
    <row r="45" spans="1:14" x14ac:dyDescent="0.3">
      <c r="A45" s="59">
        <v>46036</v>
      </c>
      <c r="B45" s="13" t="s">
        <v>44</v>
      </c>
      <c r="C45" s="37" t="s">
        <v>45</v>
      </c>
      <c r="D45" s="13" t="s">
        <v>48</v>
      </c>
      <c r="E45" s="13">
        <v>0</v>
      </c>
      <c r="F45" s="60">
        <v>0</v>
      </c>
      <c r="G45" s="13">
        <v>0</v>
      </c>
      <c r="H45" s="50" t="s">
        <v>165</v>
      </c>
      <c r="I45" s="13"/>
      <c r="J45" s="13"/>
      <c r="K45" s="40"/>
      <c r="L45" s="41"/>
      <c r="M45" s="41"/>
      <c r="N45" s="42"/>
    </row>
    <row r="46" spans="1:14" x14ac:dyDescent="0.3">
      <c r="A46" s="59">
        <v>46037</v>
      </c>
      <c r="B46" s="13" t="s">
        <v>44</v>
      </c>
      <c r="C46" s="37" t="s">
        <v>27</v>
      </c>
      <c r="D46" s="13" t="s">
        <v>48</v>
      </c>
      <c r="E46" s="13">
        <v>0</v>
      </c>
      <c r="F46" s="60">
        <v>0</v>
      </c>
      <c r="G46" s="13">
        <v>0</v>
      </c>
      <c r="H46" s="50" t="s">
        <v>165</v>
      </c>
      <c r="I46" s="46"/>
      <c r="J46" s="13"/>
      <c r="K46" s="40"/>
      <c r="L46" s="41"/>
      <c r="M46" s="41"/>
      <c r="N46" s="42"/>
    </row>
    <row r="47" spans="1:14" x14ac:dyDescent="0.3">
      <c r="A47" s="59">
        <v>46037</v>
      </c>
      <c r="B47" s="13" t="s">
        <v>44</v>
      </c>
      <c r="C47" s="37" t="s">
        <v>45</v>
      </c>
      <c r="D47" s="13" t="s">
        <v>48</v>
      </c>
      <c r="E47" s="13">
        <v>0</v>
      </c>
      <c r="F47" s="60">
        <v>0</v>
      </c>
      <c r="G47" s="13">
        <v>0</v>
      </c>
      <c r="H47" s="50" t="s">
        <v>165</v>
      </c>
      <c r="I47" s="13"/>
      <c r="J47" s="13"/>
      <c r="K47" s="40"/>
      <c r="L47" s="41"/>
      <c r="M47" s="41"/>
      <c r="N47" s="42"/>
    </row>
    <row r="48" spans="1:14" x14ac:dyDescent="0.3">
      <c r="A48" s="59">
        <v>46038</v>
      </c>
      <c r="B48" s="13" t="s">
        <v>44</v>
      </c>
      <c r="C48" s="37" t="s">
        <v>27</v>
      </c>
      <c r="D48" s="13" t="s">
        <v>48</v>
      </c>
      <c r="E48" s="13">
        <v>0</v>
      </c>
      <c r="F48" s="60">
        <v>0</v>
      </c>
      <c r="G48" s="13">
        <v>0</v>
      </c>
      <c r="H48" s="50" t="s">
        <v>165</v>
      </c>
      <c r="I48" s="13"/>
      <c r="J48" s="13"/>
      <c r="K48" s="40"/>
      <c r="L48" s="41"/>
      <c r="M48" s="41"/>
      <c r="N48" s="42"/>
    </row>
    <row r="49" spans="1:14" x14ac:dyDescent="0.3">
      <c r="A49" s="59">
        <v>46038</v>
      </c>
      <c r="B49" s="13" t="s">
        <v>44</v>
      </c>
      <c r="C49" s="37" t="s">
        <v>45</v>
      </c>
      <c r="D49" s="13" t="s">
        <v>48</v>
      </c>
      <c r="E49" s="13">
        <v>0</v>
      </c>
      <c r="F49" s="60">
        <v>0</v>
      </c>
      <c r="G49" s="13">
        <v>0</v>
      </c>
      <c r="H49" s="50" t="s">
        <v>165</v>
      </c>
      <c r="I49" s="13"/>
      <c r="J49" s="13"/>
      <c r="K49" s="40"/>
      <c r="L49" s="41"/>
      <c r="M49" s="41"/>
      <c r="N49" s="42"/>
    </row>
    <row r="50" spans="1:14" x14ac:dyDescent="0.3">
      <c r="A50" s="59">
        <v>46039</v>
      </c>
      <c r="B50" s="13" t="s">
        <v>44</v>
      </c>
      <c r="C50" s="37" t="s">
        <v>27</v>
      </c>
      <c r="D50" s="13" t="s">
        <v>48</v>
      </c>
      <c r="E50" s="13">
        <v>0</v>
      </c>
      <c r="F50" s="60">
        <v>0</v>
      </c>
      <c r="G50" s="13">
        <v>0</v>
      </c>
      <c r="H50" s="50" t="s">
        <v>165</v>
      </c>
      <c r="I50" s="46"/>
      <c r="J50" s="13"/>
      <c r="K50" s="46"/>
      <c r="L50" s="41"/>
      <c r="M50" s="41"/>
      <c r="N50" s="42"/>
    </row>
    <row r="51" spans="1:14" x14ac:dyDescent="0.3">
      <c r="A51" s="59">
        <v>46039</v>
      </c>
      <c r="B51" s="13" t="s">
        <v>44</v>
      </c>
      <c r="C51" s="37" t="s">
        <v>45</v>
      </c>
      <c r="D51" s="13" t="s">
        <v>48</v>
      </c>
      <c r="E51" s="13">
        <v>0</v>
      </c>
      <c r="F51" s="60">
        <v>0</v>
      </c>
      <c r="G51" s="13">
        <v>0</v>
      </c>
      <c r="H51" s="50" t="s">
        <v>165</v>
      </c>
      <c r="I51" s="46"/>
      <c r="J51" s="13"/>
      <c r="K51" s="40"/>
      <c r="L51" s="41"/>
      <c r="M51" s="41"/>
      <c r="N51" s="42"/>
    </row>
    <row r="52" spans="1:14" x14ac:dyDescent="0.3">
      <c r="A52" s="59">
        <v>46040</v>
      </c>
      <c r="B52" s="13" t="s">
        <v>44</v>
      </c>
      <c r="C52" s="37" t="s">
        <v>27</v>
      </c>
      <c r="D52" s="13" t="s">
        <v>48</v>
      </c>
      <c r="E52" s="13">
        <v>0</v>
      </c>
      <c r="F52" s="60">
        <v>0</v>
      </c>
      <c r="G52" s="13">
        <v>0</v>
      </c>
      <c r="H52" s="50" t="s">
        <v>165</v>
      </c>
      <c r="I52" s="46"/>
      <c r="J52" s="13"/>
      <c r="K52" s="46"/>
      <c r="L52" s="41"/>
      <c r="M52" s="41"/>
      <c r="N52" s="42"/>
    </row>
    <row r="53" spans="1:14" x14ac:dyDescent="0.3">
      <c r="A53" s="59">
        <v>46040</v>
      </c>
      <c r="B53" s="13" t="s">
        <v>44</v>
      </c>
      <c r="C53" s="37" t="s">
        <v>45</v>
      </c>
      <c r="D53" s="13" t="s">
        <v>48</v>
      </c>
      <c r="E53" s="13">
        <v>0</v>
      </c>
      <c r="F53" s="60">
        <v>0</v>
      </c>
      <c r="G53" s="13">
        <v>0</v>
      </c>
      <c r="H53" s="50" t="s">
        <v>165</v>
      </c>
      <c r="I53" s="46"/>
      <c r="J53" s="13"/>
      <c r="K53" s="40"/>
      <c r="L53" s="41"/>
      <c r="M53" s="41"/>
      <c r="N53" s="42"/>
    </row>
    <row r="54" spans="1:14" x14ac:dyDescent="0.3">
      <c r="A54" s="59">
        <v>46041</v>
      </c>
      <c r="B54" s="13" t="s">
        <v>44</v>
      </c>
      <c r="C54" s="37" t="s">
        <v>27</v>
      </c>
      <c r="D54" s="13" t="s">
        <v>48</v>
      </c>
      <c r="E54" s="13">
        <v>0</v>
      </c>
      <c r="F54" s="60">
        <v>0</v>
      </c>
      <c r="G54" s="13">
        <v>0</v>
      </c>
      <c r="H54" s="50" t="s">
        <v>165</v>
      </c>
      <c r="I54" s="46"/>
      <c r="J54" s="13"/>
      <c r="K54" s="46"/>
      <c r="L54" s="41"/>
      <c r="M54" s="41"/>
      <c r="N54" s="42"/>
    </row>
    <row r="55" spans="1:14" x14ac:dyDescent="0.3">
      <c r="A55" s="59">
        <v>46041</v>
      </c>
      <c r="B55" s="13" t="s">
        <v>44</v>
      </c>
      <c r="C55" s="37" t="s">
        <v>45</v>
      </c>
      <c r="D55" s="13" t="s">
        <v>48</v>
      </c>
      <c r="E55" s="13">
        <v>0</v>
      </c>
      <c r="F55" s="60">
        <v>0</v>
      </c>
      <c r="G55" s="13">
        <v>0</v>
      </c>
      <c r="H55" s="50" t="s">
        <v>165</v>
      </c>
      <c r="I55" s="46"/>
      <c r="J55" s="13"/>
      <c r="K55" s="40"/>
      <c r="L55" s="41"/>
      <c r="M55" s="41"/>
      <c r="N55" s="42"/>
    </row>
    <row r="56" spans="1:14" x14ac:dyDescent="0.3">
      <c r="A56" s="59">
        <v>46042</v>
      </c>
      <c r="B56" s="13" t="s">
        <v>44</v>
      </c>
      <c r="C56" s="37" t="s">
        <v>27</v>
      </c>
      <c r="D56" s="13" t="s">
        <v>48</v>
      </c>
      <c r="E56" s="13">
        <v>0</v>
      </c>
      <c r="F56" s="60">
        <v>0</v>
      </c>
      <c r="G56" s="13">
        <v>0</v>
      </c>
      <c r="H56" s="50" t="s">
        <v>165</v>
      </c>
      <c r="I56" s="46"/>
      <c r="J56" s="13"/>
      <c r="K56" s="46"/>
      <c r="L56" s="41"/>
      <c r="M56" s="41"/>
      <c r="N56" s="42"/>
    </row>
    <row r="57" spans="1:14" x14ac:dyDescent="0.3">
      <c r="A57" s="59">
        <v>46042</v>
      </c>
      <c r="B57" s="13" t="s">
        <v>44</v>
      </c>
      <c r="C57" s="37" t="s">
        <v>45</v>
      </c>
      <c r="D57" s="13" t="s">
        <v>48</v>
      </c>
      <c r="E57" s="13">
        <v>0</v>
      </c>
      <c r="F57" s="60">
        <v>0</v>
      </c>
      <c r="G57" s="13">
        <v>0</v>
      </c>
      <c r="H57" s="50" t="s">
        <v>165</v>
      </c>
      <c r="I57" s="46"/>
      <c r="J57" s="13"/>
      <c r="K57" s="40"/>
      <c r="L57" s="41"/>
      <c r="M57" s="41"/>
      <c r="N57" s="42"/>
    </row>
    <row r="58" spans="1:14" x14ac:dyDescent="0.3">
      <c r="A58" s="59">
        <v>46043</v>
      </c>
      <c r="B58" s="13" t="s">
        <v>44</v>
      </c>
      <c r="C58" s="37" t="s">
        <v>27</v>
      </c>
      <c r="D58" s="13" t="s">
        <v>48</v>
      </c>
      <c r="E58" s="13">
        <v>0</v>
      </c>
      <c r="F58" s="60">
        <v>0</v>
      </c>
      <c r="G58" s="13">
        <v>0</v>
      </c>
      <c r="H58" s="50" t="s">
        <v>165</v>
      </c>
      <c r="I58" s="46"/>
      <c r="J58" s="13"/>
      <c r="K58" s="46"/>
      <c r="L58" s="41"/>
      <c r="M58" s="41"/>
      <c r="N58" s="42"/>
    </row>
    <row r="59" spans="1:14" x14ac:dyDescent="0.3">
      <c r="A59" s="59">
        <v>46043</v>
      </c>
      <c r="B59" s="13" t="s">
        <v>44</v>
      </c>
      <c r="C59" s="37" t="s">
        <v>45</v>
      </c>
      <c r="D59" s="13" t="s">
        <v>48</v>
      </c>
      <c r="E59" s="13">
        <v>0</v>
      </c>
      <c r="F59" s="60">
        <v>0</v>
      </c>
      <c r="G59" s="13">
        <v>0</v>
      </c>
      <c r="H59" s="50" t="s">
        <v>165</v>
      </c>
      <c r="I59" s="46"/>
      <c r="J59" s="13"/>
      <c r="K59" s="40"/>
      <c r="L59" s="41"/>
      <c r="M59" s="41"/>
      <c r="N59" s="42"/>
    </row>
    <row r="60" spans="1:14" x14ac:dyDescent="0.3">
      <c r="A60" s="59">
        <v>46044</v>
      </c>
      <c r="B60" s="13" t="s">
        <v>44</v>
      </c>
      <c r="C60" s="37" t="s">
        <v>27</v>
      </c>
      <c r="D60" s="13" t="s">
        <v>48</v>
      </c>
      <c r="E60" s="13">
        <v>0</v>
      </c>
      <c r="F60" s="60">
        <v>0</v>
      </c>
      <c r="G60" s="13">
        <v>0</v>
      </c>
      <c r="H60" s="50" t="s">
        <v>165</v>
      </c>
      <c r="I60" s="46"/>
      <c r="J60" s="13"/>
      <c r="K60" s="46"/>
      <c r="L60" s="41"/>
      <c r="M60" s="41"/>
      <c r="N60" s="42"/>
    </row>
    <row r="61" spans="1:14" x14ac:dyDescent="0.3">
      <c r="A61" s="59">
        <v>46044</v>
      </c>
      <c r="B61" s="13" t="s">
        <v>44</v>
      </c>
      <c r="C61" s="37" t="s">
        <v>45</v>
      </c>
      <c r="D61" s="13" t="s">
        <v>48</v>
      </c>
      <c r="E61" s="13">
        <v>0</v>
      </c>
      <c r="F61" s="60">
        <v>0</v>
      </c>
      <c r="G61" s="13">
        <v>0</v>
      </c>
      <c r="H61" s="50" t="s">
        <v>165</v>
      </c>
      <c r="I61" s="46"/>
      <c r="J61" s="13"/>
      <c r="K61" s="40"/>
      <c r="L61" s="41"/>
      <c r="M61" s="41"/>
      <c r="N61" s="42"/>
    </row>
    <row r="62" spans="1:14" x14ac:dyDescent="0.3">
      <c r="A62" s="59">
        <v>46045</v>
      </c>
      <c r="B62" s="13" t="s">
        <v>44</v>
      </c>
      <c r="C62" s="37" t="s">
        <v>27</v>
      </c>
      <c r="D62" s="13" t="s">
        <v>48</v>
      </c>
      <c r="E62" s="13">
        <v>0</v>
      </c>
      <c r="F62" s="60">
        <v>0</v>
      </c>
      <c r="G62" s="13">
        <v>0</v>
      </c>
      <c r="H62" s="50" t="s">
        <v>165</v>
      </c>
      <c r="I62" s="46"/>
      <c r="J62" s="13"/>
      <c r="K62" s="46"/>
      <c r="L62" s="41"/>
      <c r="M62" s="41"/>
      <c r="N62" s="42"/>
    </row>
    <row r="63" spans="1:14" x14ac:dyDescent="0.3">
      <c r="A63" s="59">
        <v>46045</v>
      </c>
      <c r="B63" s="13" t="s">
        <v>44</v>
      </c>
      <c r="C63" s="37" t="s">
        <v>45</v>
      </c>
      <c r="D63" s="13" t="s">
        <v>48</v>
      </c>
      <c r="E63" s="13">
        <v>0</v>
      </c>
      <c r="F63" s="60">
        <v>0</v>
      </c>
      <c r="G63" s="13">
        <v>0</v>
      </c>
      <c r="H63" s="50" t="s">
        <v>165</v>
      </c>
      <c r="I63" s="46"/>
      <c r="J63" s="13"/>
      <c r="K63" s="40"/>
      <c r="L63" s="41"/>
      <c r="M63" s="41"/>
      <c r="N63" s="42"/>
    </row>
    <row r="64" spans="1:14" x14ac:dyDescent="0.3">
      <c r="A64" s="59">
        <v>46046</v>
      </c>
      <c r="B64" s="13" t="s">
        <v>44</v>
      </c>
      <c r="C64" s="37" t="s">
        <v>27</v>
      </c>
      <c r="D64" s="13" t="s">
        <v>48</v>
      </c>
      <c r="E64" s="13">
        <v>0</v>
      </c>
      <c r="F64" s="60">
        <v>0</v>
      </c>
      <c r="G64" s="13">
        <v>0</v>
      </c>
      <c r="H64" s="50" t="s">
        <v>165</v>
      </c>
      <c r="I64" s="46"/>
      <c r="J64" s="13"/>
      <c r="K64" s="40"/>
      <c r="L64" s="41"/>
      <c r="M64" s="41"/>
      <c r="N64" s="42"/>
    </row>
    <row r="65" spans="1:14" x14ac:dyDescent="0.3">
      <c r="A65" s="59">
        <v>46046</v>
      </c>
      <c r="B65" s="13" t="s">
        <v>44</v>
      </c>
      <c r="C65" s="37" t="s">
        <v>45</v>
      </c>
      <c r="D65" s="13" t="s">
        <v>48</v>
      </c>
      <c r="E65" s="13">
        <v>0</v>
      </c>
      <c r="F65" s="60">
        <v>0</v>
      </c>
      <c r="G65" s="13">
        <v>0</v>
      </c>
      <c r="H65" s="50" t="s">
        <v>165</v>
      </c>
      <c r="I65" s="46"/>
      <c r="J65" s="13"/>
      <c r="K65" s="40"/>
      <c r="L65" s="41"/>
      <c r="M65" s="41"/>
      <c r="N65" s="42"/>
    </row>
    <row r="66" spans="1:14" x14ac:dyDescent="0.3">
      <c r="A66" s="59">
        <v>46047</v>
      </c>
      <c r="B66" s="13" t="s">
        <v>44</v>
      </c>
      <c r="C66" s="37" t="s">
        <v>27</v>
      </c>
      <c r="D66" s="13" t="s">
        <v>48</v>
      </c>
      <c r="E66" s="13">
        <v>0</v>
      </c>
      <c r="F66" s="60">
        <v>0</v>
      </c>
      <c r="G66" s="13">
        <v>0</v>
      </c>
      <c r="H66" s="50" t="s">
        <v>165</v>
      </c>
      <c r="I66" s="46"/>
      <c r="J66" s="13"/>
      <c r="K66" s="40"/>
      <c r="L66" s="41"/>
      <c r="M66" s="41"/>
      <c r="N66" s="42"/>
    </row>
    <row r="67" spans="1:14" x14ac:dyDescent="0.3">
      <c r="A67" s="59">
        <v>46047</v>
      </c>
      <c r="B67" s="13" t="s">
        <v>44</v>
      </c>
      <c r="C67" s="37" t="s">
        <v>45</v>
      </c>
      <c r="D67" s="13" t="s">
        <v>48</v>
      </c>
      <c r="E67" s="13">
        <v>0</v>
      </c>
      <c r="F67" s="60">
        <v>0</v>
      </c>
      <c r="G67" s="13">
        <v>0</v>
      </c>
      <c r="H67" s="50" t="s">
        <v>165</v>
      </c>
      <c r="I67" s="46"/>
      <c r="J67" s="13"/>
      <c r="K67" s="40"/>
      <c r="L67" s="41"/>
      <c r="M67" s="41"/>
      <c r="N67" s="42"/>
    </row>
    <row r="68" spans="1:14" x14ac:dyDescent="0.3">
      <c r="A68" s="59">
        <v>46048</v>
      </c>
      <c r="B68" s="13" t="s">
        <v>44</v>
      </c>
      <c r="C68" s="37" t="s">
        <v>27</v>
      </c>
      <c r="D68" s="13" t="s">
        <v>48</v>
      </c>
      <c r="E68" s="13">
        <v>0</v>
      </c>
      <c r="F68" s="60">
        <v>0</v>
      </c>
      <c r="G68" s="13">
        <v>0</v>
      </c>
      <c r="H68" s="50" t="s">
        <v>165</v>
      </c>
      <c r="I68" s="46"/>
      <c r="J68" s="13"/>
      <c r="K68" s="40"/>
      <c r="L68" s="41"/>
      <c r="M68" s="41"/>
      <c r="N68" s="42"/>
    </row>
    <row r="69" spans="1:14" x14ac:dyDescent="0.3">
      <c r="A69" s="59">
        <v>46048</v>
      </c>
      <c r="B69" s="13" t="s">
        <v>44</v>
      </c>
      <c r="C69" s="37" t="s">
        <v>45</v>
      </c>
      <c r="D69" s="13" t="s">
        <v>48</v>
      </c>
      <c r="E69" s="13">
        <v>0</v>
      </c>
      <c r="F69" s="60">
        <v>0</v>
      </c>
      <c r="G69" s="13">
        <v>0</v>
      </c>
      <c r="H69" s="50" t="s">
        <v>165</v>
      </c>
      <c r="I69" s="46"/>
      <c r="J69" s="13"/>
      <c r="K69" s="40"/>
      <c r="L69" s="41"/>
      <c r="M69" s="41"/>
      <c r="N69" s="42"/>
    </row>
    <row r="70" spans="1:14" x14ac:dyDescent="0.3">
      <c r="A70" s="59">
        <v>46049</v>
      </c>
      <c r="B70" s="13" t="s">
        <v>44</v>
      </c>
      <c r="C70" s="37" t="s">
        <v>27</v>
      </c>
      <c r="D70" s="13" t="s">
        <v>48</v>
      </c>
      <c r="E70" s="13">
        <v>0</v>
      </c>
      <c r="F70" s="60">
        <v>0</v>
      </c>
      <c r="G70" s="13">
        <v>0</v>
      </c>
      <c r="H70" s="50" t="s">
        <v>165</v>
      </c>
      <c r="I70" s="46"/>
      <c r="J70" s="13"/>
      <c r="K70" s="40"/>
      <c r="L70" s="41"/>
      <c r="M70" s="41"/>
      <c r="N70" s="42"/>
    </row>
    <row r="71" spans="1:14" x14ac:dyDescent="0.3">
      <c r="A71" s="59">
        <v>46049</v>
      </c>
      <c r="B71" s="13" t="s">
        <v>44</v>
      </c>
      <c r="C71" s="37" t="s">
        <v>45</v>
      </c>
      <c r="D71" s="13" t="s">
        <v>48</v>
      </c>
      <c r="E71" s="13">
        <v>0</v>
      </c>
      <c r="F71" s="60">
        <v>0</v>
      </c>
      <c r="G71" s="13">
        <v>0</v>
      </c>
      <c r="H71" s="50" t="s">
        <v>165</v>
      </c>
      <c r="I71" s="46"/>
      <c r="J71" s="13"/>
      <c r="K71" s="40"/>
      <c r="L71" s="41"/>
      <c r="M71" s="41"/>
      <c r="N71" s="42"/>
    </row>
    <row r="72" spans="1:14" x14ac:dyDescent="0.3">
      <c r="A72" s="59">
        <v>46050</v>
      </c>
      <c r="B72" s="60" t="s">
        <v>39</v>
      </c>
      <c r="C72" s="61" t="s">
        <v>27</v>
      </c>
      <c r="D72" s="60" t="s">
        <v>46</v>
      </c>
      <c r="E72" s="60">
        <v>0</v>
      </c>
      <c r="F72" s="60">
        <v>90</v>
      </c>
      <c r="G72" s="83">
        <v>0</v>
      </c>
      <c r="H72" s="50" t="s">
        <v>84</v>
      </c>
      <c r="I72" s="62"/>
      <c r="J72" s="60"/>
      <c r="K72" s="238"/>
      <c r="L72" s="239"/>
      <c r="M72" s="239"/>
      <c r="N72" s="240"/>
    </row>
    <row r="73" spans="1:14" ht="15.6" x14ac:dyDescent="0.3">
      <c r="A73" s="59">
        <v>46050</v>
      </c>
      <c r="B73" s="60" t="s">
        <v>39</v>
      </c>
      <c r="C73" s="61" t="s">
        <v>45</v>
      </c>
      <c r="D73" s="60" t="s">
        <v>46</v>
      </c>
      <c r="E73" s="60">
        <v>0</v>
      </c>
      <c r="F73" s="60">
        <v>360</v>
      </c>
      <c r="G73" s="83">
        <v>0</v>
      </c>
      <c r="H73" s="50" t="s">
        <v>84</v>
      </c>
      <c r="I73" s="71"/>
      <c r="J73" s="60"/>
      <c r="K73" s="72"/>
      <c r="L73" s="73"/>
      <c r="M73" s="73"/>
      <c r="N73" s="74"/>
    </row>
    <row r="74" spans="1:14" ht="15.6" x14ac:dyDescent="0.3">
      <c r="A74" s="59">
        <v>46051</v>
      </c>
      <c r="B74" s="60" t="s">
        <v>39</v>
      </c>
      <c r="C74" s="61" t="s">
        <v>27</v>
      </c>
      <c r="D74" s="60" t="s">
        <v>46</v>
      </c>
      <c r="E74" s="60">
        <v>0</v>
      </c>
      <c r="F74" s="60">
        <v>600</v>
      </c>
      <c r="G74" s="83">
        <v>0</v>
      </c>
      <c r="H74" s="50" t="s">
        <v>84</v>
      </c>
      <c r="I74" s="71"/>
      <c r="J74" s="60"/>
      <c r="K74" s="72"/>
      <c r="L74" s="73"/>
      <c r="M74" s="73"/>
      <c r="N74" s="74"/>
    </row>
    <row r="75" spans="1:14" ht="15.6" x14ac:dyDescent="0.3">
      <c r="A75" s="59">
        <v>46051</v>
      </c>
      <c r="B75" s="60" t="s">
        <v>39</v>
      </c>
      <c r="C75" s="61" t="s">
        <v>27</v>
      </c>
      <c r="D75" s="60" t="s">
        <v>46</v>
      </c>
      <c r="E75" s="60">
        <v>0</v>
      </c>
      <c r="F75" s="60">
        <v>405</v>
      </c>
      <c r="G75" s="83">
        <v>0</v>
      </c>
      <c r="H75" s="50" t="s">
        <v>84</v>
      </c>
      <c r="I75" s="71"/>
      <c r="J75" s="60"/>
      <c r="K75" s="235"/>
      <c r="L75" s="236"/>
      <c r="M75" s="236"/>
      <c r="N75" s="237"/>
    </row>
    <row r="76" spans="1:14" ht="15.6" x14ac:dyDescent="0.3">
      <c r="A76" s="59">
        <v>46052</v>
      </c>
      <c r="B76" s="60" t="s">
        <v>39</v>
      </c>
      <c r="C76" s="61" t="s">
        <v>45</v>
      </c>
      <c r="D76" s="60" t="s">
        <v>46</v>
      </c>
      <c r="E76" s="60">
        <v>0</v>
      </c>
      <c r="F76" s="60">
        <v>0</v>
      </c>
      <c r="G76" s="83">
        <v>0</v>
      </c>
      <c r="H76" s="50" t="s">
        <v>89</v>
      </c>
      <c r="I76" s="71"/>
      <c r="J76" s="60"/>
      <c r="K76" s="72"/>
      <c r="L76" s="73"/>
      <c r="M76" s="73"/>
      <c r="N76" s="74"/>
    </row>
    <row r="77" spans="1:14" ht="15.6" x14ac:dyDescent="0.3">
      <c r="A77" s="59">
        <v>46052</v>
      </c>
      <c r="B77" s="60" t="s">
        <v>39</v>
      </c>
      <c r="C77" s="61" t="s">
        <v>45</v>
      </c>
      <c r="D77" s="60" t="s">
        <v>46</v>
      </c>
      <c r="E77" s="60">
        <v>0</v>
      </c>
      <c r="F77" s="60">
        <v>600</v>
      </c>
      <c r="G77" s="83">
        <v>0</v>
      </c>
      <c r="H77" s="50" t="s">
        <v>180</v>
      </c>
      <c r="I77" s="71"/>
      <c r="J77" s="60"/>
      <c r="K77" s="72"/>
      <c r="L77" s="73"/>
      <c r="M77" s="73"/>
      <c r="N77" s="74"/>
    </row>
    <row r="78" spans="1:14" ht="15.6" x14ac:dyDescent="0.3">
      <c r="A78" s="59">
        <v>46053</v>
      </c>
      <c r="B78" s="60" t="s">
        <v>39</v>
      </c>
      <c r="C78" s="61" t="s">
        <v>27</v>
      </c>
      <c r="D78" s="60" t="s">
        <v>46</v>
      </c>
      <c r="E78" s="60">
        <v>0</v>
      </c>
      <c r="F78" s="60">
        <v>0</v>
      </c>
      <c r="G78" s="83">
        <v>0</v>
      </c>
      <c r="H78" s="50" t="s">
        <v>89</v>
      </c>
      <c r="I78" s="71"/>
      <c r="J78" s="60"/>
      <c r="K78" s="235"/>
      <c r="L78" s="236"/>
      <c r="M78" s="236"/>
      <c r="N78" s="237"/>
    </row>
    <row r="79" spans="1:14" ht="15.6" x14ac:dyDescent="0.3">
      <c r="A79" s="59">
        <v>46053</v>
      </c>
      <c r="B79" s="60" t="s">
        <v>39</v>
      </c>
      <c r="C79" s="61" t="s">
        <v>45</v>
      </c>
      <c r="D79" s="60" t="s">
        <v>46</v>
      </c>
      <c r="E79" s="60">
        <v>0</v>
      </c>
      <c r="F79" s="60">
        <v>0</v>
      </c>
      <c r="G79" s="83">
        <v>0</v>
      </c>
      <c r="H79" s="50" t="s">
        <v>89</v>
      </c>
      <c r="I79" s="71"/>
      <c r="J79" s="60"/>
      <c r="K79" s="72"/>
      <c r="L79" s="73"/>
      <c r="M79" s="73"/>
      <c r="N79" s="74"/>
    </row>
    <row r="80" spans="1:14" ht="23.4" x14ac:dyDescent="0.45">
      <c r="A80" s="259" t="s">
        <v>63</v>
      </c>
      <c r="B80" s="260"/>
      <c r="C80" s="260"/>
      <c r="D80" s="261"/>
      <c r="E80" s="98">
        <f>SUM(E16:E79)</f>
        <v>1440</v>
      </c>
      <c r="F80" s="98">
        <f>SUM(F16:F79)</f>
        <v>2235</v>
      </c>
      <c r="G80" s="102">
        <f>SUM(G16:G79)</f>
        <v>16650</v>
      </c>
      <c r="H80" s="99"/>
      <c r="I80" s="97"/>
      <c r="J80" s="98"/>
      <c r="K80" s="259"/>
      <c r="L80" s="260"/>
      <c r="M80" s="260"/>
      <c r="N80" s="261"/>
    </row>
    <row r="81" spans="1:9" ht="15" thickBot="1" x14ac:dyDescent="0.35">
      <c r="F81" s="26"/>
    </row>
    <row r="82" spans="1:9" x14ac:dyDescent="0.3">
      <c r="A82" t="s">
        <v>273</v>
      </c>
      <c r="E82" s="14"/>
      <c r="G82"/>
      <c r="H82"/>
      <c r="I82" s="14"/>
    </row>
    <row r="83" spans="1:9" x14ac:dyDescent="0.3">
      <c r="C83" t="s">
        <v>275</v>
      </c>
      <c r="D83" s="295">
        <f>E80+G80</f>
        <v>18090</v>
      </c>
      <c r="E83" s="296"/>
      <c r="G83"/>
      <c r="H83" s="295"/>
      <c r="I83" s="296"/>
    </row>
    <row r="84" spans="1:9" x14ac:dyDescent="0.3">
      <c r="C84" t="s">
        <v>274</v>
      </c>
      <c r="D84" s="296">
        <f>F80</f>
        <v>2235</v>
      </c>
      <c r="E84" s="296"/>
      <c r="G84"/>
      <c r="H84" s="296"/>
      <c r="I84" s="296"/>
    </row>
  </sheetData>
  <mergeCells count="23">
    <mergeCell ref="L4:N4"/>
    <mergeCell ref="A5:K5"/>
    <mergeCell ref="A6:A7"/>
    <mergeCell ref="B6:C6"/>
    <mergeCell ref="B7:C7"/>
    <mergeCell ref="K7:K9"/>
    <mergeCell ref="A8:A9"/>
    <mergeCell ref="B8:C8"/>
    <mergeCell ref="B9:C9"/>
    <mergeCell ref="H83:I83"/>
    <mergeCell ref="H84:I84"/>
    <mergeCell ref="D83:E83"/>
    <mergeCell ref="D84:E84"/>
    <mergeCell ref="A4:K4"/>
    <mergeCell ref="A80:D80"/>
    <mergeCell ref="K80:N80"/>
    <mergeCell ref="A10:N12"/>
    <mergeCell ref="A14:N14"/>
    <mergeCell ref="K15:N15"/>
    <mergeCell ref="K16:N16"/>
    <mergeCell ref="K72:N72"/>
    <mergeCell ref="K75:N75"/>
    <mergeCell ref="K78:N78"/>
  </mergeCells>
  <phoneticPr fontId="11" type="noConversion"/>
  <dataValidations count="1">
    <dataValidation type="list" allowBlank="1" showInputMessage="1" showErrorMessage="1" sqref="I27 I25 I29:I31 I18:I23 I72:I79 B16:D79" xr:uid="{00000000-0002-0000-0600-000000000000}">
      <formula1>#REF!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14"/>
  <sheetViews>
    <sheetView workbookViewId="0">
      <selection activeCell="D9" sqref="D9"/>
    </sheetView>
  </sheetViews>
  <sheetFormatPr defaultRowHeight="14.4" x14ac:dyDescent="0.3"/>
  <cols>
    <col min="2" max="2" width="4.109375" bestFit="1" customWidth="1"/>
    <col min="4" max="4" width="9.109375" style="14"/>
    <col min="5" max="5" width="21.44140625" bestFit="1" customWidth="1"/>
  </cols>
  <sheetData>
    <row r="2" spans="2:5" x14ac:dyDescent="0.3">
      <c r="B2" s="315" t="s">
        <v>181</v>
      </c>
      <c r="C2" s="316"/>
      <c r="D2" s="316"/>
      <c r="E2" s="317"/>
    </row>
    <row r="3" spans="2:5" x14ac:dyDescent="0.3">
      <c r="B3" s="120" t="s">
        <v>173</v>
      </c>
      <c r="C3" s="120" t="s">
        <v>174</v>
      </c>
      <c r="D3" s="121" t="s">
        <v>175</v>
      </c>
      <c r="E3" s="120"/>
    </row>
    <row r="4" spans="2:5" x14ac:dyDescent="0.3">
      <c r="B4" s="120">
        <v>1</v>
      </c>
      <c r="C4" s="120" t="s">
        <v>176</v>
      </c>
      <c r="D4" s="122">
        <v>0.94579999999999997</v>
      </c>
      <c r="E4" s="120"/>
    </row>
    <row r="5" spans="2:5" x14ac:dyDescent="0.3">
      <c r="B5" s="120">
        <v>2</v>
      </c>
      <c r="C5" s="120" t="s">
        <v>177</v>
      </c>
      <c r="D5" s="122">
        <v>0.98799999999999999</v>
      </c>
      <c r="E5" s="120"/>
    </row>
    <row r="6" spans="2:5" x14ac:dyDescent="0.3">
      <c r="B6" s="120">
        <v>3</v>
      </c>
      <c r="C6" s="120" t="s">
        <v>178</v>
      </c>
      <c r="D6" s="122">
        <v>0.99399999999999999</v>
      </c>
      <c r="E6" s="120"/>
    </row>
    <row r="7" spans="2:5" x14ac:dyDescent="0.3">
      <c r="B7" s="120">
        <v>4</v>
      </c>
      <c r="C7" s="120" t="s">
        <v>179</v>
      </c>
      <c r="D7" s="122">
        <v>0</v>
      </c>
      <c r="E7" s="120" t="s">
        <v>182</v>
      </c>
    </row>
    <row r="8" spans="2:5" x14ac:dyDescent="0.3">
      <c r="B8" s="120">
        <v>5</v>
      </c>
      <c r="C8" s="120" t="s">
        <v>43</v>
      </c>
      <c r="D8" s="122">
        <v>0.97070000000000001</v>
      </c>
      <c r="E8" s="120"/>
    </row>
    <row r="9" spans="2:5" x14ac:dyDescent="0.3">
      <c r="B9" s="120">
        <v>6</v>
      </c>
      <c r="C9" s="120" t="s">
        <v>44</v>
      </c>
      <c r="D9" s="123">
        <v>0.61499999999999999</v>
      </c>
      <c r="E9" s="120"/>
    </row>
    <row r="10" spans="2:5" x14ac:dyDescent="0.3">
      <c r="B10" s="120"/>
      <c r="C10" s="120"/>
      <c r="D10" s="121"/>
      <c r="E10" s="120"/>
    </row>
    <row r="11" spans="2:5" x14ac:dyDescent="0.3">
      <c r="B11" s="119"/>
      <c r="C11" s="119"/>
      <c r="D11" s="2"/>
      <c r="E11" s="119"/>
    </row>
    <row r="12" spans="2:5" x14ac:dyDescent="0.3">
      <c r="B12" s="119"/>
      <c r="C12" s="119"/>
      <c r="D12" s="2"/>
      <c r="E12" s="119"/>
    </row>
    <row r="13" spans="2:5" x14ac:dyDescent="0.3">
      <c r="B13" s="119"/>
      <c r="C13" s="119"/>
      <c r="D13" s="2"/>
      <c r="E13" s="119"/>
    </row>
    <row r="14" spans="2:5" x14ac:dyDescent="0.3">
      <c r="B14" s="119"/>
      <c r="C14" s="119"/>
      <c r="D14" s="2"/>
      <c r="E14" s="119"/>
    </row>
  </sheetData>
  <mergeCells count="1">
    <mergeCell ref="B2:E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Availabilities</vt:lpstr>
      <vt:lpstr>DR - 02</vt:lpstr>
      <vt:lpstr>DR - 03</vt:lpstr>
      <vt:lpstr>DR - 04</vt:lpstr>
      <vt:lpstr>DR - 05</vt:lpstr>
      <vt:lpstr>DR -10 </vt:lpstr>
      <vt:lpstr>DR -12</vt:lpstr>
      <vt:lpstr>SUMMERY</vt:lpstr>
      <vt:lpstr>Availabilities!Print_Area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Eldana G</dc:creator>
  <cp:lastModifiedBy>Herianto Sabil</cp:lastModifiedBy>
  <cp:lastPrinted>2025-12-12T09:43:57Z</cp:lastPrinted>
  <dcterms:created xsi:type="dcterms:W3CDTF">2025-05-29T08:54:27Z</dcterms:created>
  <dcterms:modified xsi:type="dcterms:W3CDTF">2026-02-07T15:29:44Z</dcterms:modified>
</cp:coreProperties>
</file>